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wan Singh\Downloads\"/>
    </mc:Choice>
  </mc:AlternateContent>
  <xr:revisionPtr revIDLastSave="0" documentId="13_ncr:1_{E2F532E7-66F6-4019-9374-5112EFBC073E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Dashboard" sheetId="1" r:id="rId1"/>
    <sheet name="Decision Tool" sheetId="2" r:id="rId2"/>
    <sheet name="Performance" sheetId="3" r:id="rId3"/>
    <sheet name="Risk Analytics" sheetId="4" r:id="rId4"/>
    <sheet name="Stress Testing" sheetId="5" r:id="rId5"/>
    <sheet name="Asset Allocation" sheetId="6" r:id="rId6"/>
    <sheet name="Methodology" sheetId="7" r:id="rId7"/>
    <sheet name="Data" sheetId="8" r:id="rId8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6" l="1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C7" i="5"/>
  <c r="B7" i="5"/>
  <c r="C6" i="5"/>
  <c r="B6" i="5"/>
  <c r="C5" i="5"/>
  <c r="B5" i="5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E14" i="2"/>
  <c r="D14" i="2"/>
  <c r="C14" i="2"/>
  <c r="B14" i="2"/>
  <c r="F14" i="2" s="1"/>
  <c r="G14" i="2" s="1"/>
  <c r="E13" i="2"/>
  <c r="D13" i="2"/>
  <c r="C13" i="2"/>
  <c r="B13" i="2"/>
  <c r="F13" i="2" s="1"/>
  <c r="G13" i="2" s="1"/>
  <c r="E12" i="2"/>
  <c r="D12" i="2"/>
  <c r="C12" i="2"/>
  <c r="B12" i="2"/>
  <c r="F12" i="2" s="1"/>
  <c r="G12" i="2" s="1"/>
  <c r="A16" i="2" s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G10" i="1"/>
  <c r="E10" i="1"/>
  <c r="C10" i="1"/>
  <c r="G9" i="1"/>
  <c r="E9" i="1"/>
  <c r="C9" i="1"/>
  <c r="G8" i="1"/>
  <c r="E8" i="1"/>
  <c r="C8" i="1"/>
  <c r="G7" i="1"/>
  <c r="E7" i="1"/>
  <c r="C7" i="1"/>
  <c r="F5" i="1"/>
  <c r="D5" i="1"/>
  <c r="B5" i="1"/>
</calcChain>
</file>

<file path=xl/sharedStrings.xml><?xml version="1.0" encoding="utf-8"?>
<sst xmlns="http://schemas.openxmlformats.org/spreadsheetml/2006/main" count="175" uniqueCount="98">
  <si>
    <t>Market Portfolio Risk &amp; Decision Dashboard</t>
  </si>
  <si>
    <t>Conservative vs. Balanced vs. Growth  |  Quantitative comparison of return, risk and downside exposure  |  Data window: Jan 2019 - Dec 2025</t>
  </si>
  <si>
    <t>CONSERVATIVE PORTFOLIO</t>
  </si>
  <si>
    <t>BALANCED PORTFOLIO</t>
  </si>
  <si>
    <t>GROWTH PORTFOLIO</t>
  </si>
  <si>
    <t>Annualized Return</t>
  </si>
  <si>
    <t>Sharpe Ratio</t>
  </si>
  <si>
    <t>Sortino Ratio</t>
  </si>
  <si>
    <t>Max Drawdown</t>
  </si>
  <si>
    <t>Beta</t>
  </si>
  <si>
    <t>Performance &amp; Risk Comparison</t>
  </si>
  <si>
    <t>Portfolio</t>
  </si>
  <si>
    <t>Annualized Volatility</t>
  </si>
  <si>
    <t>Hist. VaR (95%)</t>
  </si>
  <si>
    <t>Conservative</t>
  </si>
  <si>
    <t>Balanced</t>
  </si>
  <si>
    <t>Growth</t>
  </si>
  <si>
    <t>Tip: Open the "Decision Tool" tab to set your own priorities (return, volatility, downside protection, market sensitivity) and get a weighted, ranked recommendation.</t>
  </si>
  <si>
    <t>Interactive Portfolio Decision Tool</t>
  </si>
  <si>
    <t>Set your priorities below - the recommendation updates automatically.</t>
  </si>
  <si>
    <t>Investor Risk Tolerance (label only)</t>
  </si>
  <si>
    <t>(descriptive only - drive the score with the weights below)</t>
  </si>
  <si>
    <t>Step 1 - Set Your Priority Weights (0-100 each; relative weight, do not need to sum to 100)</t>
  </si>
  <si>
    <t>Return Priority</t>
  </si>
  <si>
    <t>Low Volatility</t>
  </si>
  <si>
    <t>Downside Protection</t>
  </si>
  <si>
    <t>Low Market Sensitivity</t>
  </si>
  <si>
    <t>Step 2 - Weighted Score &amp; Ranking (0-1 scale, relative to the 3 portfolios; higher is better)</t>
  </si>
  <si>
    <t>Return Score</t>
  </si>
  <si>
    <t>Volatility Score</t>
  </si>
  <si>
    <t>Downside Score</t>
  </si>
  <si>
    <t>Market Score</t>
  </si>
  <si>
    <t>Weighted Total</t>
  </si>
  <si>
    <t>Rank</t>
  </si>
  <si>
    <t>How this works:
- Each metric is min-max normalized across the 3 portfolios (0 = worst, 1 = best), so scores are relative, not absolute.
- Return Score blends Annualized Return, Sharpe Ratio and Sortino Ratio.
- Volatility Score rewards lower Annualized Volatility and lower Maximum Rolling Volatility.
- Downside Score rewards a less-negative Historical VaR (95%), Expected Shortfall (95%) and Maximum Drawdown.
- Market Score rewards a lower Beta (less sensitivity to the S&amp;P 500).
- Weighted Total = weighted average of the four sub-scores, using the weights you set in Step 1. Rank 1 = best fit for your stated priorities.
This is a quantitative fit-to-preferences tool based on historical data (Jan 2019 - Dec 2025) — not investment advice or a forecast.</t>
  </si>
  <si>
    <t>Performance Summary</t>
  </si>
  <si>
    <t>Return and risk-adjusted return measures, Jan 2019 - Dec 2025</t>
  </si>
  <si>
    <t>Treynor Ratio</t>
  </si>
  <si>
    <t>Jensen's Alpha</t>
  </si>
  <si>
    <t>Beta is on the Risk Analytics tab alongside market-sensitivity measures.</t>
  </si>
  <si>
    <t>Risk Analytics</t>
  </si>
  <si>
    <t>Volatility, tail risk and drawdown measures, Jan 2019 - Dec 2025</t>
  </si>
  <si>
    <t>Historical VaR (95%)</t>
  </si>
  <si>
    <t>Expected Shortfall (95%)</t>
  </si>
  <si>
    <t>Maximum Drawdown</t>
  </si>
  <si>
    <t>Maximum Rolling Volatility</t>
  </si>
  <si>
    <t>Stress-Period Testing</t>
  </si>
  <si>
    <t>Portfolio behaviour in two historical stress windows</t>
  </si>
  <si>
    <t>2020 Stress Period Return (Feb-Jun)</t>
  </si>
  <si>
    <t>2022 Annual Return</t>
  </si>
  <si>
    <t>Feb-Jun 2020: COVID-19 drawdown and recovery. 2022: broad rate-driven equity and bond sell-off.</t>
  </si>
  <si>
    <t>Asset Allocation</t>
  </si>
  <si>
    <t>Strategic weights underlying each portfolio</t>
  </si>
  <si>
    <t>Asset</t>
  </si>
  <si>
    <t>SPY - US Large-Cap Equity</t>
  </si>
  <si>
    <t>QQQ - Nasdaq-100 Growth Equity</t>
  </si>
  <si>
    <t>TLT - 20+ Yr US Treasuries</t>
  </si>
  <si>
    <t>GLD - Gold</t>
  </si>
  <si>
    <t>Total</t>
  </si>
  <si>
    <t>Methodology &amp; Assumptions</t>
  </si>
  <si>
    <t>How every metric on this workbook is calculated</t>
  </si>
  <si>
    <t>Metric</t>
  </si>
  <si>
    <t>Methodology</t>
  </si>
  <si>
    <t>Mean daily return x 252</t>
  </si>
  <si>
    <t>Daily standard deviation x sqrt(252)</t>
  </si>
  <si>
    <t>Annualized Return / Annualized Volatility; assumes 0% risk-free rate</t>
  </si>
  <si>
    <t>Annualized Return / Annualized Downside Deviation; simplified downside calculation</t>
  </si>
  <si>
    <t>Covariance of portfolio returns with SPY / Variance of SPY</t>
  </si>
  <si>
    <t>Annualized Return / Beta; assumes 0% risk-free rate</t>
  </si>
  <si>
    <t>Portfolio Return - (Beta x SPY Return); assumes 0% risk-free rate</t>
  </si>
  <si>
    <t>5th percentile of daily portfolio returns</t>
  </si>
  <si>
    <t>Average return of observations at or below the 95% VaR threshold</t>
  </si>
  <si>
    <t>Largest decline from a previous cumulative-return peak</t>
  </si>
  <si>
    <t>30-trading-day rolling standard deviation x sqrt(252)</t>
  </si>
  <si>
    <t>2020 Stress Period Return</t>
  </si>
  <si>
    <t>Portfolio return from Feb 1, 2020 through Jun 30, 2020</t>
  </si>
  <si>
    <t>Portfolio return over calendar year 2022</t>
  </si>
  <si>
    <t>Decision Tool scores</t>
  </si>
  <si>
    <t>Each metric min-max normalized across the 3 portfolios (0=worst, 1=best), then averaged into 4 sub-scores and combined using user-set weights</t>
  </si>
  <si>
    <t>Data source &amp; scope</t>
  </si>
  <si>
    <t>Universe</t>
  </si>
  <si>
    <t>SPY (US equity), QQQ (Nasdaq-100), TLT (20+yr Treasuries), GLD (gold)</t>
  </si>
  <si>
    <t>Data window</t>
  </si>
  <si>
    <t>Jan 2019 - Dec 2025, daily adjusted close, dividends reinvested</t>
  </si>
  <si>
    <t>Source</t>
  </si>
  <si>
    <t>Yahoo Finance (yfinance)</t>
  </si>
  <si>
    <t>Portfolio weights</t>
  </si>
  <si>
    <t>Conservative: 40% SPY / 40% TLT / 20% GLD.  Balanced: 60% SPY / 30% TLT / 10% GLD.  Growth: 40% SPY / 50% QQQ / 10% TLT.</t>
  </si>
  <si>
    <t>Scope</t>
  </si>
  <si>
    <t>Historical analysis only - not a forecast, recommendation, or investment advice.</t>
  </si>
  <si>
    <t>Source data - every figure on the other tabs links back to this sheet.</t>
  </si>
  <si>
    <t>Asset Allocation Weights</t>
  </si>
  <si>
    <t>SPY</t>
  </si>
  <si>
    <t>QQQ</t>
  </si>
  <si>
    <t>TLT</t>
  </si>
  <si>
    <t>GLD</t>
  </si>
  <si>
    <t>Jan 2019 - Dec 2025 (daily total-return series, dividends reinvested)</t>
  </si>
  <si>
    <t>Yahoo Finance (yfinance) daily adjusted close; project-supplied, not re-verified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</si>
</sst>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[Red]\(0.0%\);\-"/>
    <numFmt numFmtId="165" formatCode="0.000"/>
    <numFmt numFmtId="166" formatCode="0.00%;[Red]\(0.00%\);\-"/>
  </numFmts>
  <fonts count="25" x14ac:knownFonts="1">
    <font>
      <sz val="11"/>
      <color theme="1"/>
      <name val="Calibri"/>
      <family val="2"/>
      <charset val="1"/>
    </font>
    <font>
      <b/>
      <sz val="19"/>
      <color rgb="FF05152B"/>
      <name val="Georgia"/>
      <charset val="1"/>
    </font>
    <font>
      <i/>
      <sz val="10.5"/>
      <color rgb="FF6B6B6B"/>
      <name val="Calibri"/>
      <charset val="1"/>
    </font>
    <font>
      <b/>
      <sz val="11"/>
      <color rgb="FFFFFFFF"/>
      <name val="Calibri"/>
      <charset val="1"/>
    </font>
    <font>
      <b/>
      <sz val="20"/>
      <color rgb="FF0A2240"/>
      <name val="Calibri"/>
      <charset val="1"/>
    </font>
    <font>
      <b/>
      <sz val="20"/>
      <color rgb="FF4A4A4A"/>
      <name val="Calibri"/>
      <charset val="1"/>
    </font>
    <font>
      <b/>
      <sz val="20"/>
      <color rgb="FF9C7C38"/>
      <name val="Calibri"/>
      <charset val="1"/>
    </font>
    <font>
      <i/>
      <sz val="9"/>
      <color rgb="FF595959"/>
      <name val="Calibri"/>
      <charset val="1"/>
    </font>
    <font>
      <sz val="9.5"/>
      <color rgb="FF595959"/>
      <name val="Calibri"/>
      <charset val="1"/>
    </font>
    <font>
      <b/>
      <sz val="9.5"/>
      <name val="Calibri"/>
      <charset val="1"/>
    </font>
    <font>
      <b/>
      <sz val="12.5"/>
      <color rgb="FF05152B"/>
      <name val="Georgia"/>
      <charset val="1"/>
    </font>
    <font>
      <b/>
      <sz val="10.5"/>
      <color rgb="FFFFFFFF"/>
      <name val="Calibri"/>
      <charset val="1"/>
    </font>
    <font>
      <b/>
      <sz val="11"/>
      <name val="Calibri"/>
      <charset val="1"/>
    </font>
    <font>
      <sz val="10"/>
      <name val="Calibri"/>
      <charset val="1"/>
    </font>
    <font>
      <i/>
      <sz val="10"/>
      <color rgb="FF05152B"/>
      <name val="Calibri"/>
      <charset val="1"/>
    </font>
    <font>
      <b/>
      <sz val="9.5"/>
      <color rgb="FF6B6B6B"/>
      <name val="Calibri"/>
      <charset val="1"/>
    </font>
    <font>
      <b/>
      <sz val="12"/>
      <color rgb="FF0A2240"/>
      <name val="Calibri"/>
      <charset val="1"/>
    </font>
    <font>
      <i/>
      <sz val="9"/>
      <color rgb="FF808080"/>
      <name val="Calibri"/>
      <charset val="1"/>
    </font>
    <font>
      <b/>
      <sz val="14"/>
      <color rgb="FF0A2240"/>
      <name val="Calibri"/>
      <charset val="1"/>
    </font>
    <font>
      <b/>
      <sz val="14"/>
      <color rgb="FF05152B"/>
      <name val="Georgia"/>
      <charset val="1"/>
    </font>
    <font>
      <i/>
      <sz val="9.5"/>
      <color rgb="FF595959"/>
      <name val="Calibri"/>
      <charset val="1"/>
    </font>
    <font>
      <b/>
      <sz val="11"/>
      <name val="Cambria"/>
      <charset val="1"/>
    </font>
    <font>
      <b/>
      <sz val="10"/>
      <name val="Calibri"/>
      <charset val="1"/>
    </font>
    <font>
      <i/>
      <sz val="9.5"/>
      <color rgb="FF6B6B6B"/>
      <name val="Calibri"/>
      <charset val="1"/>
    </font>
    <font>
      <sz val="10.5"/>
      <color rgb="FF0000FF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0A2240"/>
        <bgColor rgb="FF05152B"/>
      </patternFill>
    </fill>
    <fill>
      <patternFill patternType="solid">
        <fgColor rgb="FF4A4A4A"/>
        <bgColor rgb="FF595959"/>
      </patternFill>
    </fill>
    <fill>
      <patternFill patternType="solid">
        <fgColor rgb="FF9C7C38"/>
        <bgColor rgb="FF808080"/>
      </patternFill>
    </fill>
    <fill>
      <patternFill patternType="solid">
        <fgColor rgb="FFFFFFFF"/>
        <bgColor rgb="FFF9F9F9"/>
      </patternFill>
    </fill>
    <fill>
      <patternFill patternType="solid">
        <fgColor rgb="FFF4F4F4"/>
        <bgColor rgb="FFF9F9F9"/>
      </patternFill>
    </fill>
    <fill>
      <patternFill patternType="solid">
        <fgColor rgb="FFE7ECF3"/>
        <bgColor rgb="FFF4F4F4"/>
      </patternFill>
    </fill>
    <fill>
      <patternFill patternType="solid">
        <fgColor rgb="FFF1E8D0"/>
        <bgColor rgb="FFE7ECF3"/>
      </patternFill>
    </fill>
  </fills>
  <borders count="3">
    <border>
      <left/>
      <right/>
      <top/>
      <bottom/>
      <diagonal/>
    </border>
    <border>
      <left style="thin">
        <color rgb="FFC9CDD3"/>
      </left>
      <right style="thin">
        <color rgb="FFC9CDD3"/>
      </right>
      <top style="thin">
        <color rgb="FFC9CDD3"/>
      </top>
      <bottom style="thin">
        <color rgb="FFC9CDD3"/>
      </bottom>
      <diagonal/>
    </border>
    <border>
      <left style="thin">
        <color rgb="FFC9CDD3"/>
      </left>
      <right/>
      <top style="thin">
        <color rgb="FFC9CDD3"/>
      </top>
      <bottom style="thin">
        <color rgb="FFC9CDD3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8" fillId="0" borderId="0" xfId="0" applyFont="1" applyAlignment="1">
      <alignment horizontal="left" vertical="top" wrapText="1"/>
    </xf>
    <xf numFmtId="0" fontId="19" fillId="8" borderId="1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0" fillId="0" borderId="0" xfId="0" applyFont="1"/>
    <xf numFmtId="0" fontId="7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8" fillId="0" borderId="1" xfId="0" applyFont="1" applyBorder="1" applyAlignment="1">
      <alignment horizontal="left" vertical="center" wrapText="1"/>
    </xf>
    <xf numFmtId="165" fontId="9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0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/>
    <xf numFmtId="166" fontId="13" fillId="5" borderId="1" xfId="0" applyNumberFormat="1" applyFont="1" applyFill="1" applyBorder="1" applyAlignment="1">
      <alignment horizontal="center" vertical="center" wrapText="1"/>
    </xf>
    <xf numFmtId="165" fontId="13" fillId="5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/>
    <xf numFmtId="166" fontId="13" fillId="6" borderId="1" xfId="0" applyNumberFormat="1" applyFont="1" applyFill="1" applyBorder="1" applyAlignment="1">
      <alignment horizontal="center" vertical="center" wrapText="1"/>
    </xf>
    <xf numFmtId="165" fontId="13" fillId="6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7" fillId="0" borderId="0" xfId="0" applyFont="1"/>
    <xf numFmtId="0" fontId="15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0" borderId="1" xfId="0" applyFont="1" applyBorder="1"/>
    <xf numFmtId="164" fontId="13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/>
    <xf numFmtId="164" fontId="21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22" fillId="0" borderId="0" xfId="0" applyFont="1"/>
    <xf numFmtId="0" fontId="11" fillId="2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13" fillId="0" borderId="0" xfId="0" applyFont="1"/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ill>
        <patternFill>
          <bgColor rgb="FFF1E8D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7C38"/>
      <rgbColor rgb="FF800080"/>
      <rgbColor rgb="FF4F81BD"/>
      <rgbColor rgb="FFC9CDD3"/>
      <rgbColor rgb="FF808080"/>
      <rgbColor rgb="FF93A9CE"/>
      <rgbColor rgb="FFAB4744"/>
      <rgbColor rgb="FFF9F9F9"/>
      <rgbColor rgb="FFE7ECF3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6B6B6B"/>
      <rgbColor rgb="FF0000FF"/>
      <rgbColor rgb="FF00CCFF"/>
      <rgbColor rgb="FFF4F4F4"/>
      <rgbColor rgb="FFCCFFCC"/>
      <rgbColor rgb="FFF1E8D0"/>
      <rgbColor rgb="FFB8CD97"/>
      <rgbColor rgb="FFFF99CC"/>
      <rgbColor rgb="FF8AA64F"/>
      <rgbColor rgb="FFFFCC99"/>
      <rgbColor rgb="FF4672A8"/>
      <rgbColor rgb="FF33CCCC"/>
      <rgbColor rgb="FF9BBB59"/>
      <rgbColor rgb="FFFFCC00"/>
      <rgbColor rgb="FFFF9900"/>
      <rgbColor rgb="FFFF6600"/>
      <rgbColor rgb="FF8064A2"/>
      <rgbColor rgb="FF878787"/>
      <rgbColor rgb="FF0A2240"/>
      <rgbColor rgb="FF5B7A9D"/>
      <rgbColor rgb="FF05152B"/>
      <rgbColor rgb="FF333300"/>
      <rgbColor rgb="FF8C1F1F"/>
      <rgbColor rgb="FFC0504D"/>
      <rgbColor rgb="FF59595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Return vs. Volatility (Annualized)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Dashboard!$B$14</c:f>
              <c:strCache>
                <c:ptCount val="1"/>
                <c:pt idx="0">
                  <c:v>Annualized Return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Dashboard!$A$15:$A$17</c:f>
              <c:strCache>
                <c:ptCount val="3"/>
                <c:pt idx="0">
                  <c:v>Conservative</c:v>
                </c:pt>
                <c:pt idx="1">
                  <c:v>Balanced</c:v>
                </c:pt>
                <c:pt idx="2">
                  <c:v>Growth</c:v>
                </c:pt>
              </c:strCache>
            </c:strRef>
          </c:cat>
          <c:val>
            <c:numRef>
              <c:f>Dashboard!$B$15:$B$17</c:f>
              <c:numCache>
                <c:formatCode>0.00%;[Red]\(0.00%\);\-</c:formatCode>
                <c:ptCount val="3"/>
                <c:pt idx="0">
                  <c:v>0.105047</c:v>
                </c:pt>
                <c:pt idx="1">
                  <c:v>0.123237</c:v>
                </c:pt>
                <c:pt idx="2">
                  <c:v>0.18728500000000001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3-46E8-B7E8-F5F35952610B}"/>
            </c:ext>
          </c:extLst>
        </c:ser>
        <c:ser>
          <c:idx val="1"/>
          <c:order val="1"/>
          <c:tx>
            <c:strRef>
              <c:f>Dashboard!$C$14</c:f>
              <c:strCache>
                <c:ptCount val="1"/>
                <c:pt idx="0">
                  <c:v>Annualized Volatility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Dashboard!$A$15:$A$17</c:f>
              <c:strCache>
                <c:ptCount val="3"/>
                <c:pt idx="0">
                  <c:v>Conservative</c:v>
                </c:pt>
                <c:pt idx="1">
                  <c:v>Balanced</c:v>
                </c:pt>
                <c:pt idx="2">
                  <c:v>Growth</c:v>
                </c:pt>
              </c:strCache>
            </c:strRef>
          </c:cat>
          <c:val>
            <c:numRef>
              <c:f>Dashboard!$C$15:$C$17</c:f>
              <c:numCache>
                <c:formatCode>0.00%;[Red]\(0.00%\);\-</c:formatCode>
                <c:ptCount val="3"/>
                <c:pt idx="0">
                  <c:v>0.10810400000000001</c:v>
                </c:pt>
                <c:pt idx="1">
                  <c:v>0.12604899999999999</c:v>
                </c:pt>
                <c:pt idx="2">
                  <c:v>0.19598199999999999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53-46E8-B7E8-F5F359526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19838"/>
        <c:axId val="38349465"/>
      </c:barChart>
      <c:catAx>
        <c:axId val="543198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Portfolio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349465"/>
        <c:crosses val="autoZero"/>
        <c:auto val="1"/>
        <c:lblAlgn val="ctr"/>
        <c:lblOffset val="100"/>
        <c:noMultiLvlLbl val="0"/>
      </c:catAx>
      <c:valAx>
        <c:axId val="38349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;[Red]\(0.0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3198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6191202781622382"/>
          <c:y val="0.47532106714453404"/>
          <c:w val="0.28664146102690474"/>
          <c:h val="0.1595111583421891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Risk-Adjusted Return: Sharpe vs. Sortino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Dashboard!$D$14</c:f>
              <c:strCache>
                <c:ptCount val="1"/>
                <c:pt idx="0">
                  <c:v>Sharpe Ratio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Dashboard!$A$15:$A$17</c:f>
              <c:strCache>
                <c:ptCount val="3"/>
                <c:pt idx="0">
                  <c:v>Conservative</c:v>
                </c:pt>
                <c:pt idx="1">
                  <c:v>Balanced</c:v>
                </c:pt>
                <c:pt idx="2">
                  <c:v>Growth</c:v>
                </c:pt>
              </c:strCache>
            </c:strRef>
          </c:cat>
          <c:val>
            <c:numRef>
              <c:f>Dashboard!$D$15:$D$17</c:f>
              <c:numCache>
                <c:formatCode>0.000</c:formatCode>
                <c:ptCount val="3"/>
                <c:pt idx="0">
                  <c:v>0.97171700000000005</c:v>
                </c:pt>
                <c:pt idx="1">
                  <c:v>0.97768900000000003</c:v>
                </c:pt>
                <c:pt idx="2">
                  <c:v>0.95562199999999997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9-49D9-8BFF-2CE6B692C054}"/>
            </c:ext>
          </c:extLst>
        </c:ser>
        <c:ser>
          <c:idx val="1"/>
          <c:order val="1"/>
          <c:tx>
            <c:strRef>
              <c:f>Dashboard!$E$14</c:f>
              <c:strCache>
                <c:ptCount val="1"/>
                <c:pt idx="0">
                  <c:v>Sortino Ratio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Dashboard!$A$15:$A$17</c:f>
              <c:strCache>
                <c:ptCount val="3"/>
                <c:pt idx="0">
                  <c:v>Conservative</c:v>
                </c:pt>
                <c:pt idx="1">
                  <c:v>Balanced</c:v>
                </c:pt>
                <c:pt idx="2">
                  <c:v>Growth</c:v>
                </c:pt>
              </c:strCache>
            </c:strRef>
          </c:cat>
          <c:val>
            <c:numRef>
              <c:f>Dashboard!$E$15:$E$17</c:f>
              <c:numCache>
                <c:formatCode>0.000</c:formatCode>
                <c:ptCount val="3"/>
                <c:pt idx="0">
                  <c:v>1.5874980000000001</c:v>
                </c:pt>
                <c:pt idx="1">
                  <c:v>1.5615760000000001</c:v>
                </c:pt>
                <c:pt idx="2">
                  <c:v>1.5229159999999999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9-49D9-8BFF-2CE6B692C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169356"/>
        <c:axId val="61301193"/>
      </c:barChart>
      <c:catAx>
        <c:axId val="681693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Portfolio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301193"/>
        <c:crosses val="autoZero"/>
        <c:auto val="1"/>
        <c:lblAlgn val="ctr"/>
        <c:lblOffset val="100"/>
        <c:noMultiLvlLbl val="0"/>
      </c:catAx>
      <c:valAx>
        <c:axId val="613011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1693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Risk vs. Return Map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Portfolios</c:v>
          </c:tx>
          <c:spPr>
            <a:ln w="28440">
              <a:noFill/>
            </a:ln>
          </c:spPr>
          <c:marker>
            <c:symbol val="circle"/>
            <c:size val="10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Dashboard!$C$15:$C$17</c:f>
              <c:numCache>
                <c:formatCode>0.00%;[Red]\(0.00%\);\-</c:formatCode>
                <c:ptCount val="3"/>
                <c:pt idx="0">
                  <c:v>0.10810400000000001</c:v>
                </c:pt>
                <c:pt idx="1">
                  <c:v>0.12604899999999999</c:v>
                </c:pt>
                <c:pt idx="2">
                  <c:v>0.19598199999999999</c:v>
                </c:pt>
              </c:numCache>
            </c:numRef>
          </c:xVal>
          <c:yVal>
            <c:numRef>
              <c:f>Dashboard!$B$15:$B$17</c:f>
              <c:numCache>
                <c:formatCode>0.00%;[Red]\(0.00%\);\-</c:formatCode>
                <c:ptCount val="3"/>
                <c:pt idx="0">
                  <c:v>0.105047</c:v>
                </c:pt>
                <c:pt idx="1">
                  <c:v>0.123237</c:v>
                </c:pt>
                <c:pt idx="2">
                  <c:v>0.18728500000000001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35-4770-B7C8-B2AEB4EB6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37081"/>
        <c:axId val="96047870"/>
      </c:scatterChart>
      <c:valAx>
        <c:axId val="496370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Annualized Volatility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047870"/>
        <c:crosses val="autoZero"/>
        <c:crossBetween val="midCat"/>
      </c:valAx>
      <c:valAx>
        <c:axId val="96047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Annualized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63708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Sharpe vs. Sortino Ratio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Performance!$D$4</c:f>
              <c:strCache>
                <c:ptCount val="1"/>
                <c:pt idx="0">
                  <c:v>Sharpe Ratio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Performance!$A$5:$A$7</c:f>
              <c:strCache>
                <c:ptCount val="3"/>
                <c:pt idx="0">
                  <c:v>Conservative</c:v>
                </c:pt>
                <c:pt idx="1">
                  <c:v>Balanced</c:v>
                </c:pt>
                <c:pt idx="2">
                  <c:v>Growth</c:v>
                </c:pt>
              </c:strCache>
            </c:strRef>
          </c:cat>
          <c:val>
            <c:numRef>
              <c:f>Performance!$D$5:$D$7</c:f>
              <c:numCache>
                <c:formatCode>0.000</c:formatCode>
                <c:ptCount val="3"/>
                <c:pt idx="0">
                  <c:v>0.97171700000000005</c:v>
                </c:pt>
                <c:pt idx="1">
                  <c:v>0.97768900000000003</c:v>
                </c:pt>
                <c:pt idx="2">
                  <c:v>0.95562199999999997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B-433C-9769-B8AF351D033B}"/>
            </c:ext>
          </c:extLst>
        </c:ser>
        <c:ser>
          <c:idx val="1"/>
          <c:order val="1"/>
          <c:tx>
            <c:strRef>
              <c:f>Performance!$E$4</c:f>
              <c:strCache>
                <c:ptCount val="1"/>
                <c:pt idx="0">
                  <c:v>Sortino Ratio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Performance!$A$5:$A$7</c:f>
              <c:strCache>
                <c:ptCount val="3"/>
                <c:pt idx="0">
                  <c:v>Conservative</c:v>
                </c:pt>
                <c:pt idx="1">
                  <c:v>Balanced</c:v>
                </c:pt>
                <c:pt idx="2">
                  <c:v>Growth</c:v>
                </c:pt>
              </c:strCache>
            </c:strRef>
          </c:cat>
          <c:val>
            <c:numRef>
              <c:f>Performance!$E$5:$E$7</c:f>
              <c:numCache>
                <c:formatCode>0.000</c:formatCode>
                <c:ptCount val="3"/>
                <c:pt idx="0">
                  <c:v>1.5874980000000001</c:v>
                </c:pt>
                <c:pt idx="1">
                  <c:v>1.5615760000000001</c:v>
                </c:pt>
                <c:pt idx="2">
                  <c:v>1.5229159999999999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AB-433C-9769-B8AF351D0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3901"/>
        <c:axId val="8706121"/>
      </c:barChart>
      <c:catAx>
        <c:axId val="403539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06121"/>
        <c:crosses val="autoZero"/>
        <c:auto val="1"/>
        <c:lblAlgn val="ctr"/>
        <c:lblOffset val="100"/>
        <c:noMultiLvlLbl val="0"/>
      </c:catAx>
      <c:valAx>
        <c:axId val="8706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353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Tail Risk: VaR (95%) vs. Expected Shortfall (95%)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Analytics'!$C$4</c:f>
              <c:strCache>
                <c:ptCount val="1"/>
                <c:pt idx="0">
                  <c:v>Historical VaR (95%)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Analytics'!$A$5:$A$7</c:f>
              <c:strCache>
                <c:ptCount val="3"/>
                <c:pt idx="0">
                  <c:v>Conservative</c:v>
                </c:pt>
                <c:pt idx="1">
                  <c:v>Balanced</c:v>
                </c:pt>
                <c:pt idx="2">
                  <c:v>Growth</c:v>
                </c:pt>
              </c:strCache>
            </c:strRef>
          </c:cat>
          <c:val>
            <c:numRef>
              <c:f>'Risk Analytics'!$C$5:$C$7</c:f>
              <c:numCache>
                <c:formatCode>0.00%;[Red]\(0.00%\);\-</c:formatCode>
                <c:ptCount val="3"/>
                <c:pt idx="0">
                  <c:v>-1.0521000000000001E-2</c:v>
                </c:pt>
                <c:pt idx="1">
                  <c:v>-1.1563E-2</c:v>
                </c:pt>
                <c:pt idx="2">
                  <c:v>-1.8348E-2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2-4E86-94F9-8B440AA6229C}"/>
            </c:ext>
          </c:extLst>
        </c:ser>
        <c:ser>
          <c:idx val="1"/>
          <c:order val="1"/>
          <c:tx>
            <c:strRef>
              <c:f>'Risk Analytics'!$D$4</c:f>
              <c:strCache>
                <c:ptCount val="1"/>
                <c:pt idx="0">
                  <c:v>Expected Shortfall (95%)</c:v>
                </c:pt>
              </c:strCache>
            </c:strRef>
          </c:tx>
          <c:spPr>
            <a:solidFill>
              <a:srgbClr val="B8C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Analytics'!$A$5:$A$7</c:f>
              <c:strCache>
                <c:ptCount val="3"/>
                <c:pt idx="0">
                  <c:v>Conservative</c:v>
                </c:pt>
                <c:pt idx="1">
                  <c:v>Balanced</c:v>
                </c:pt>
                <c:pt idx="2">
                  <c:v>Growth</c:v>
                </c:pt>
              </c:strCache>
            </c:strRef>
          </c:cat>
          <c:val>
            <c:numRef>
              <c:f>'Risk Analytics'!$D$5:$D$7</c:f>
              <c:numCache>
                <c:formatCode>0.00%;[Red]\(0.00%\);\-</c:formatCode>
                <c:ptCount val="3"/>
                <c:pt idx="0">
                  <c:v>-1.5438E-2</c:v>
                </c:pt>
                <c:pt idx="1">
                  <c:v>-1.8585999999999998E-2</c:v>
                </c:pt>
                <c:pt idx="2">
                  <c:v>-2.9343000000000001E-2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F2-4E86-94F9-8B440AA62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33335"/>
        <c:axId val="38584569"/>
      </c:barChart>
      <c:catAx>
        <c:axId val="22533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584569"/>
        <c:crosses val="autoZero"/>
        <c:auto val="1"/>
        <c:lblAlgn val="ctr"/>
        <c:lblOffset val="100"/>
        <c:noMultiLvlLbl val="0"/>
      </c:catAx>
      <c:valAx>
        <c:axId val="385845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;[Red]\(0.0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5333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Maximum Drawdown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Analytics'!$E$4</c:f>
              <c:strCache>
                <c:ptCount val="1"/>
                <c:pt idx="0">
                  <c:v>Maximum Drawdown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Analytics'!$A$5:$A$7</c:f>
              <c:strCache>
                <c:ptCount val="3"/>
                <c:pt idx="0">
                  <c:v>Conservative</c:v>
                </c:pt>
                <c:pt idx="1">
                  <c:v>Balanced</c:v>
                </c:pt>
                <c:pt idx="2">
                  <c:v>Growth</c:v>
                </c:pt>
              </c:strCache>
            </c:strRef>
          </c:cat>
          <c:val>
            <c:numRef>
              <c:f>'Risk Analytics'!$E$5:$E$7</c:f>
              <c:numCache>
                <c:formatCode>0.00%;[Red]\(0.00%\);\-</c:formatCode>
                <c:ptCount val="3"/>
                <c:pt idx="0">
                  <c:v>-0.25068800000000002</c:v>
                </c:pt>
                <c:pt idx="1">
                  <c:v>-0.24895600000000001</c:v>
                </c:pt>
                <c:pt idx="2">
                  <c:v>-0.30307099999999998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6-4BF5-A664-99D237A40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39729"/>
        <c:axId val="15255872"/>
      </c:barChart>
      <c:catAx>
        <c:axId val="620397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255872"/>
        <c:crosses val="autoZero"/>
        <c:auto val="1"/>
        <c:lblAlgn val="ctr"/>
        <c:lblOffset val="100"/>
        <c:noMultiLvlLbl val="0"/>
      </c:catAx>
      <c:valAx>
        <c:axId val="152558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;[Red]\(0.0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0397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Portfolio Performance During Stress Periods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'Stress Testing'!$B$4</c:f>
              <c:strCache>
                <c:ptCount val="1"/>
                <c:pt idx="0">
                  <c:v>2020 Stress Period Return (Feb-Jun)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'Stress Testing'!$A$5:$A$7</c:f>
              <c:strCache>
                <c:ptCount val="3"/>
                <c:pt idx="0">
                  <c:v>Conservative</c:v>
                </c:pt>
                <c:pt idx="1">
                  <c:v>Balanced</c:v>
                </c:pt>
                <c:pt idx="2">
                  <c:v>Growth</c:v>
                </c:pt>
              </c:strCache>
            </c:strRef>
          </c:cat>
          <c:val>
            <c:numRef>
              <c:f>'Stress Testing'!$B$5:$B$7</c:f>
              <c:numCache>
                <c:formatCode>0.00%;[Red]\(0.00%\);\-</c:formatCode>
                <c:ptCount val="3"/>
                <c:pt idx="0">
                  <c:v>8.4777000000000005E-2</c:v>
                </c:pt>
                <c:pt idx="1">
                  <c:v>5.2294E-2</c:v>
                </c:pt>
                <c:pt idx="2">
                  <c:v>7.5081999999999996E-2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E-4275-BC4E-B613AAEC5D96}"/>
            </c:ext>
          </c:extLst>
        </c:ser>
        <c:ser>
          <c:idx val="1"/>
          <c:order val="1"/>
          <c:tx>
            <c:strRef>
              <c:f>'Stress Testing'!$C$4</c:f>
              <c:strCache>
                <c:ptCount val="1"/>
                <c:pt idx="0">
                  <c:v>2022 Annual Return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'Stress Testing'!$A$5:$A$7</c:f>
              <c:strCache>
                <c:ptCount val="3"/>
                <c:pt idx="0">
                  <c:v>Conservative</c:v>
                </c:pt>
                <c:pt idx="1">
                  <c:v>Balanced</c:v>
                </c:pt>
                <c:pt idx="2">
                  <c:v>Growth</c:v>
                </c:pt>
              </c:strCache>
            </c:strRef>
          </c:cat>
          <c:val>
            <c:numRef>
              <c:f>'Stress Testing'!$C$5:$C$7</c:f>
              <c:numCache>
                <c:formatCode>0.00%;[Red]\(0.00%\);\-</c:formatCode>
                <c:ptCount val="3"/>
                <c:pt idx="0">
                  <c:v>-0.19733100000000001</c:v>
                </c:pt>
                <c:pt idx="1">
                  <c:v>-0.19953399999999999</c:v>
                </c:pt>
                <c:pt idx="2">
                  <c:v>-0.26542500000000002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BE-4275-BC4E-B613AAEC5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300258"/>
        <c:axId val="15579650"/>
      </c:barChart>
      <c:catAx>
        <c:axId val="833002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579650"/>
        <c:crosses val="autoZero"/>
        <c:auto val="1"/>
        <c:lblAlgn val="ctr"/>
        <c:lblOffset val="100"/>
        <c:noMultiLvlLbl val="0"/>
      </c:catAx>
      <c:valAx>
        <c:axId val="155796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Return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;[Red]\(0.0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3002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Asset Allocation by Portfolio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'Asset Allocation'!$B$4</c:f>
              <c:strCache>
                <c:ptCount val="1"/>
                <c:pt idx="0">
                  <c:v>Conservative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'Asset Allocation'!$A$5:$A$8</c:f>
              <c:strCache>
                <c:ptCount val="4"/>
                <c:pt idx="0">
                  <c:v>SPY - US Large-Cap Equity</c:v>
                </c:pt>
                <c:pt idx="1">
                  <c:v>QQQ - Nasdaq-100 Growth Equity</c:v>
                </c:pt>
                <c:pt idx="2">
                  <c:v>TLT - 20+ Yr US Treasuries</c:v>
                </c:pt>
                <c:pt idx="3">
                  <c:v>GLD - Gold</c:v>
                </c:pt>
              </c:strCache>
            </c:strRef>
          </c:cat>
          <c:val>
            <c:numRef>
              <c:f>'Asset Allocation'!$B$5:$B$8</c:f>
              <c:numCache>
                <c:formatCode>0.0%;[Red]\(0.0%\);\-</c:formatCode>
                <c:ptCount val="4"/>
                <c:pt idx="0">
                  <c:v>0.4</c:v>
                </c:pt>
                <c:pt idx="1">
                  <c:v>0</c:v>
                </c:pt>
                <c:pt idx="2">
                  <c:v>0.4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A-461E-B147-90E83F2CD6C9}"/>
            </c:ext>
          </c:extLst>
        </c:ser>
        <c:ser>
          <c:idx val="1"/>
          <c:order val="1"/>
          <c:tx>
            <c:strRef>
              <c:f>'Asset Allocation'!$C$4</c:f>
              <c:strCache>
                <c:ptCount val="1"/>
                <c:pt idx="0">
                  <c:v>Balanced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'Asset Allocation'!$A$5:$A$8</c:f>
              <c:strCache>
                <c:ptCount val="4"/>
                <c:pt idx="0">
                  <c:v>SPY - US Large-Cap Equity</c:v>
                </c:pt>
                <c:pt idx="1">
                  <c:v>QQQ - Nasdaq-100 Growth Equity</c:v>
                </c:pt>
                <c:pt idx="2">
                  <c:v>TLT - 20+ Yr US Treasuries</c:v>
                </c:pt>
                <c:pt idx="3">
                  <c:v>GLD - Gold</c:v>
                </c:pt>
              </c:strCache>
            </c:strRef>
          </c:cat>
          <c:val>
            <c:numRef>
              <c:f>'Asset Allocation'!$C$5:$C$8</c:f>
              <c:numCache>
                <c:formatCode>0.0%;[Red]\(0.0%\);\-</c:formatCode>
                <c:ptCount val="4"/>
                <c:pt idx="0">
                  <c:v>0.6</c:v>
                </c:pt>
                <c:pt idx="1">
                  <c:v>0</c:v>
                </c:pt>
                <c:pt idx="2">
                  <c:v>0.3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A-461E-B147-90E83F2CD6C9}"/>
            </c:ext>
          </c:extLst>
        </c:ser>
        <c:ser>
          <c:idx val="2"/>
          <c:order val="2"/>
          <c:tx>
            <c:strRef>
              <c:f>'Asset Allocation'!$D$4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'Asset Allocation'!$A$5:$A$8</c:f>
              <c:strCache>
                <c:ptCount val="4"/>
                <c:pt idx="0">
                  <c:v>SPY - US Large-Cap Equity</c:v>
                </c:pt>
                <c:pt idx="1">
                  <c:v>QQQ - Nasdaq-100 Growth Equity</c:v>
                </c:pt>
                <c:pt idx="2">
                  <c:v>TLT - 20+ Yr US Treasuries</c:v>
                </c:pt>
                <c:pt idx="3">
                  <c:v>GLD - Gold</c:v>
                </c:pt>
              </c:strCache>
            </c:strRef>
          </c:cat>
          <c:val>
            <c:numRef>
              <c:f>'Asset Allocation'!$D$5:$D$8</c:f>
              <c:numCache>
                <c:formatCode>0.0%;[Red]\(0.0%\);\-</c:formatCode>
                <c:ptCount val="4"/>
                <c:pt idx="0">
                  <c:v>0.4</c:v>
                </c:pt>
                <c:pt idx="1">
                  <c:v>0.5</c:v>
                </c:pt>
                <c:pt idx="2">
                  <c:v>0.1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EA-461E-B147-90E83F2CD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650003"/>
        <c:axId val="72261766"/>
      </c:barChart>
      <c:catAx>
        <c:axId val="886500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261766"/>
        <c:crosses val="autoZero"/>
        <c:auto val="1"/>
        <c:lblAlgn val="ctr"/>
        <c:lblOffset val="100"/>
        <c:noMultiLvlLbl val="0"/>
      </c:catAx>
      <c:valAx>
        <c:axId val="722617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6500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4</xdr:col>
      <xdr:colOff>309600</xdr:colOff>
      <xdr:row>36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676275</xdr:colOff>
      <xdr:row>21</xdr:row>
      <xdr:rowOff>0</xdr:rowOff>
    </xdr:from>
    <xdr:to>
      <xdr:col>10</xdr:col>
      <xdr:colOff>216210</xdr:colOff>
      <xdr:row>36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37</xdr:row>
      <xdr:rowOff>0</xdr:rowOff>
    </xdr:from>
    <xdr:to>
      <xdr:col>4</xdr:col>
      <xdr:colOff>309600</xdr:colOff>
      <xdr:row>52</xdr:row>
      <xdr:rowOff>22320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9</xdr:row>
      <xdr:rowOff>19050</xdr:rowOff>
    </xdr:from>
    <xdr:to>
      <xdr:col>5</xdr:col>
      <xdr:colOff>223815</xdr:colOff>
      <xdr:row>26</xdr:row>
      <xdr:rowOff>20130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9</xdr:row>
      <xdr:rowOff>38100</xdr:rowOff>
    </xdr:from>
    <xdr:to>
      <xdr:col>5</xdr:col>
      <xdr:colOff>59805</xdr:colOff>
      <xdr:row>26</xdr:row>
      <xdr:rowOff>39180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876300</xdr:colOff>
      <xdr:row>9</xdr:row>
      <xdr:rowOff>19050</xdr:rowOff>
    </xdr:from>
    <xdr:to>
      <xdr:col>13</xdr:col>
      <xdr:colOff>279000</xdr:colOff>
      <xdr:row>26</xdr:row>
      <xdr:rowOff>20130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13</xdr:row>
      <xdr:rowOff>19050</xdr:rowOff>
    </xdr:from>
    <xdr:to>
      <xdr:col>12</xdr:col>
      <xdr:colOff>177855</xdr:colOff>
      <xdr:row>30</xdr:row>
      <xdr:rowOff>20130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10</xdr:row>
      <xdr:rowOff>47625</xdr:rowOff>
    </xdr:from>
    <xdr:to>
      <xdr:col>6</xdr:col>
      <xdr:colOff>145755</xdr:colOff>
      <xdr:row>27</xdr:row>
      <xdr:rowOff>48705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2240"/>
    <pageSetUpPr fitToPage="1"/>
  </sheetPr>
  <dimension ref="A1:H55"/>
  <sheetViews>
    <sheetView showGridLines="0" tabSelected="1" zoomScaleNormal="100" workbookViewId="0">
      <selection activeCell="L52" sqref="L52"/>
    </sheetView>
  </sheetViews>
  <sheetFormatPr defaultColWidth="8.7109375" defaultRowHeight="15" x14ac:dyDescent="0.25"/>
  <cols>
    <col min="1" max="1" width="20" customWidth="1"/>
    <col min="2" max="8" width="14" customWidth="1"/>
  </cols>
  <sheetData>
    <row r="1" spans="1:8" ht="30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</row>
    <row r="4" spans="1:8" ht="19.5" customHeight="1" x14ac:dyDescent="0.25">
      <c r="B4" s="12" t="s">
        <v>2</v>
      </c>
      <c r="C4" s="12"/>
      <c r="D4" s="11" t="s">
        <v>3</v>
      </c>
      <c r="E4" s="11"/>
      <c r="F4" s="10" t="s">
        <v>4</v>
      </c>
      <c r="G4" s="10"/>
    </row>
    <row r="5" spans="1:8" ht="27.75" customHeight="1" x14ac:dyDescent="0.25">
      <c r="B5" s="9">
        <f>Data!B2</f>
        <v>0.105047</v>
      </c>
      <c r="C5" s="9"/>
      <c r="D5" s="8">
        <f>Data!C2</f>
        <v>0.123237</v>
      </c>
      <c r="E5" s="8"/>
      <c r="F5" s="7">
        <f>Data!D2</f>
        <v>0.18728500000000001</v>
      </c>
      <c r="G5" s="7"/>
    </row>
    <row r="6" spans="1:8" ht="15" customHeight="1" x14ac:dyDescent="0.25">
      <c r="B6" s="6" t="s">
        <v>5</v>
      </c>
      <c r="C6" s="6"/>
      <c r="D6" s="6" t="s">
        <v>5</v>
      </c>
      <c r="E6" s="6"/>
      <c r="F6" s="6" t="s">
        <v>5</v>
      </c>
      <c r="G6" s="6"/>
    </row>
    <row r="7" spans="1:8" x14ac:dyDescent="0.25">
      <c r="B7" s="15" t="s">
        <v>6</v>
      </c>
      <c r="C7" s="16">
        <f>Data!B4</f>
        <v>0.97171700000000005</v>
      </c>
      <c r="D7" s="15" t="s">
        <v>6</v>
      </c>
      <c r="E7" s="16">
        <f>Data!C4</f>
        <v>0.97768900000000003</v>
      </c>
      <c r="F7" s="15" t="s">
        <v>6</v>
      </c>
      <c r="G7" s="16">
        <f>Data!D4</f>
        <v>0.95562199999999997</v>
      </c>
    </row>
    <row r="8" spans="1:8" x14ac:dyDescent="0.25">
      <c r="B8" s="15" t="s">
        <v>7</v>
      </c>
      <c r="C8" s="16">
        <f>Data!B12</f>
        <v>1.5874980000000001</v>
      </c>
      <c r="D8" s="15" t="s">
        <v>7</v>
      </c>
      <c r="E8" s="16">
        <f>Data!C12</f>
        <v>1.5615760000000001</v>
      </c>
      <c r="F8" s="15" t="s">
        <v>7</v>
      </c>
      <c r="G8" s="16">
        <f>Data!D12</f>
        <v>1.5229159999999999</v>
      </c>
    </row>
    <row r="9" spans="1:8" x14ac:dyDescent="0.25">
      <c r="B9" s="15" t="s">
        <v>8</v>
      </c>
      <c r="C9" s="17">
        <f>Data!B10</f>
        <v>-0.25068800000000002</v>
      </c>
      <c r="D9" s="15" t="s">
        <v>8</v>
      </c>
      <c r="E9" s="17">
        <f>Data!C10</f>
        <v>-0.24895600000000001</v>
      </c>
      <c r="F9" s="15" t="s">
        <v>8</v>
      </c>
      <c r="G9" s="17">
        <f>Data!D10</f>
        <v>-0.30307099999999998</v>
      </c>
    </row>
    <row r="10" spans="1:8" x14ac:dyDescent="0.25">
      <c r="B10" s="15" t="s">
        <v>9</v>
      </c>
      <c r="C10" s="16">
        <f>Data!B5</f>
        <v>0.36907099999999998</v>
      </c>
      <c r="D10" s="15" t="s">
        <v>9</v>
      </c>
      <c r="E10" s="16">
        <f>Data!C5</f>
        <v>0.57260800000000001</v>
      </c>
      <c r="F10" s="15" t="s">
        <v>9</v>
      </c>
      <c r="G10" s="16">
        <f>Data!D5</f>
        <v>0.96172899999999995</v>
      </c>
    </row>
    <row r="13" spans="1:8" ht="16.5" x14ac:dyDescent="0.25">
      <c r="A13" s="5" t="s">
        <v>10</v>
      </c>
      <c r="B13" s="5"/>
      <c r="C13" s="5"/>
      <c r="D13" s="5"/>
      <c r="E13" s="5"/>
      <c r="F13" s="5"/>
      <c r="G13" s="5"/>
      <c r="H13" s="5"/>
    </row>
    <row r="14" spans="1:8" ht="30" customHeight="1" x14ac:dyDescent="0.25">
      <c r="A14" s="19" t="s">
        <v>11</v>
      </c>
      <c r="B14" s="19" t="s">
        <v>5</v>
      </c>
      <c r="C14" s="19" t="s">
        <v>12</v>
      </c>
      <c r="D14" s="19" t="s">
        <v>6</v>
      </c>
      <c r="E14" s="19" t="s">
        <v>7</v>
      </c>
      <c r="F14" s="19" t="s">
        <v>9</v>
      </c>
      <c r="G14" s="19" t="s">
        <v>8</v>
      </c>
      <c r="H14" s="19" t="s">
        <v>13</v>
      </c>
    </row>
    <row r="15" spans="1:8" x14ac:dyDescent="0.25">
      <c r="A15" s="20" t="s">
        <v>14</v>
      </c>
      <c r="B15" s="21">
        <f>Data!B2</f>
        <v>0.105047</v>
      </c>
      <c r="C15" s="21">
        <f>Data!B3</f>
        <v>0.10810400000000001</v>
      </c>
      <c r="D15" s="22">
        <f>Data!B4</f>
        <v>0.97171700000000005</v>
      </c>
      <c r="E15" s="22">
        <f>Data!B12</f>
        <v>1.5874980000000001</v>
      </c>
      <c r="F15" s="22">
        <f>Data!B5</f>
        <v>0.36907099999999998</v>
      </c>
      <c r="G15" s="21">
        <f>Data!B10</f>
        <v>-0.25068800000000002</v>
      </c>
      <c r="H15" s="21">
        <f>Data!B8</f>
        <v>-1.0521000000000001E-2</v>
      </c>
    </row>
    <row r="16" spans="1:8" x14ac:dyDescent="0.25">
      <c r="A16" s="23" t="s">
        <v>15</v>
      </c>
      <c r="B16" s="24">
        <f>Data!C2</f>
        <v>0.123237</v>
      </c>
      <c r="C16" s="24">
        <f>Data!C3</f>
        <v>0.12604899999999999</v>
      </c>
      <c r="D16" s="25">
        <f>Data!C4</f>
        <v>0.97768900000000003</v>
      </c>
      <c r="E16" s="25">
        <f>Data!C12</f>
        <v>1.5615760000000001</v>
      </c>
      <c r="F16" s="25">
        <f>Data!C5</f>
        <v>0.57260800000000001</v>
      </c>
      <c r="G16" s="24">
        <f>Data!C10</f>
        <v>-0.24895600000000001</v>
      </c>
      <c r="H16" s="24">
        <f>Data!C8</f>
        <v>-1.1563E-2</v>
      </c>
    </row>
    <row r="17" spans="1:8" x14ac:dyDescent="0.25">
      <c r="A17" s="20" t="s">
        <v>16</v>
      </c>
      <c r="B17" s="21">
        <f>Data!D2</f>
        <v>0.18728500000000001</v>
      </c>
      <c r="C17" s="21">
        <f>Data!D3</f>
        <v>0.19598199999999999</v>
      </c>
      <c r="D17" s="22">
        <f>Data!D4</f>
        <v>0.95562199999999997</v>
      </c>
      <c r="E17" s="22">
        <f>Data!D12</f>
        <v>1.5229159999999999</v>
      </c>
      <c r="F17" s="22">
        <f>Data!D5</f>
        <v>0.96172899999999995</v>
      </c>
      <c r="G17" s="21">
        <f>Data!D10</f>
        <v>-0.30307099999999998</v>
      </c>
      <c r="H17" s="21">
        <f>Data!D8</f>
        <v>-1.8348E-2</v>
      </c>
    </row>
    <row r="54" spans="1:8" ht="15" customHeight="1" x14ac:dyDescent="0.25">
      <c r="A54" s="4" t="s">
        <v>17</v>
      </c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</sheetData>
  <mergeCells count="13">
    <mergeCell ref="A13:H13"/>
    <mergeCell ref="A54:H55"/>
    <mergeCell ref="B5:C5"/>
    <mergeCell ref="D5:E5"/>
    <mergeCell ref="F5:G5"/>
    <mergeCell ref="B6:C6"/>
    <mergeCell ref="D6:E6"/>
    <mergeCell ref="F6:G6"/>
    <mergeCell ref="A1:H1"/>
    <mergeCell ref="A2:H2"/>
    <mergeCell ref="B4:C4"/>
    <mergeCell ref="D4:E4"/>
    <mergeCell ref="F4:G4"/>
  </mergeCells>
  <conditionalFormatting sqref="B15:B17">
    <cfRule type="colorScale" priority="2">
      <colorScale>
        <cfvo type="min"/>
        <cfvo type="max"/>
        <color rgb="FFFFFFFF"/>
        <color rgb="FF5B7A9D"/>
      </colorScale>
    </cfRule>
  </conditionalFormatting>
  <conditionalFormatting sqref="C15:C17">
    <cfRule type="colorScale" priority="5">
      <colorScale>
        <cfvo type="min"/>
        <cfvo type="max"/>
        <color rgb="FF5B7A9D"/>
        <color rgb="FFFFFFFF"/>
      </colorScale>
    </cfRule>
  </conditionalFormatting>
  <conditionalFormatting sqref="D15:D17">
    <cfRule type="colorScale" priority="3">
      <colorScale>
        <cfvo type="min"/>
        <cfvo type="max"/>
        <color rgb="FFFFFFFF"/>
        <color rgb="FF5B7A9D"/>
      </colorScale>
    </cfRule>
  </conditionalFormatting>
  <conditionalFormatting sqref="E15:E17">
    <cfRule type="colorScale" priority="4">
      <colorScale>
        <cfvo type="min"/>
        <cfvo type="max"/>
        <color rgb="FFFFFFFF"/>
        <color rgb="FF5B7A9D"/>
      </colorScale>
    </cfRule>
  </conditionalFormatting>
  <conditionalFormatting sqref="F15:F17">
    <cfRule type="colorScale" priority="6">
      <colorScale>
        <cfvo type="min"/>
        <cfvo type="max"/>
        <color rgb="FF5B7A9D"/>
        <color rgb="FFFFFFFF"/>
      </colorScale>
    </cfRule>
  </conditionalFormatting>
  <conditionalFormatting sqref="G15:G17">
    <cfRule type="colorScale" priority="7">
      <colorScale>
        <cfvo type="min"/>
        <cfvo type="max"/>
        <color rgb="FF5B7A9D"/>
        <color rgb="FFFFFFFF"/>
      </colorScale>
    </cfRule>
  </conditionalFormatting>
  <conditionalFormatting sqref="H15:H17">
    <cfRule type="colorScale" priority="8">
      <colorScale>
        <cfvo type="min"/>
        <cfvo type="max"/>
        <color rgb="FF5B7A9D"/>
        <color rgb="FFFFFFFF"/>
      </colorScale>
    </cfRule>
  </conditionalFormatting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7C38"/>
    <pageSetUpPr fitToPage="1"/>
  </sheetPr>
  <dimension ref="A1:G24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20" customWidth="1"/>
    <col min="2" max="7" width="16" customWidth="1"/>
    <col min="8" max="8" width="3" customWidth="1"/>
    <col min="9" max="9" width="40" customWidth="1"/>
  </cols>
  <sheetData>
    <row r="1" spans="1:7" ht="30" customHeight="1" x14ac:dyDescent="0.35">
      <c r="A1" s="14" t="s">
        <v>18</v>
      </c>
      <c r="B1" s="14"/>
      <c r="C1" s="14"/>
      <c r="D1" s="14"/>
      <c r="E1" s="14"/>
      <c r="F1" s="14"/>
      <c r="G1" s="14"/>
    </row>
    <row r="2" spans="1:7" x14ac:dyDescent="0.25">
      <c r="A2" s="13" t="s">
        <v>19</v>
      </c>
      <c r="B2" s="13"/>
      <c r="C2" s="13"/>
      <c r="D2" s="13"/>
      <c r="E2" s="13"/>
      <c r="F2" s="13"/>
      <c r="G2" s="13"/>
    </row>
    <row r="4" spans="1:7" ht="15" customHeight="1" x14ac:dyDescent="0.25">
      <c r="A4" s="26" t="s">
        <v>20</v>
      </c>
      <c r="B4" s="3" t="s">
        <v>15</v>
      </c>
      <c r="C4" s="3"/>
      <c r="D4" s="27" t="s">
        <v>21</v>
      </c>
    </row>
    <row r="6" spans="1:7" ht="16.5" x14ac:dyDescent="0.25">
      <c r="A6" s="5" t="s">
        <v>22</v>
      </c>
      <c r="B6" s="5"/>
      <c r="C6" s="5"/>
      <c r="D6" s="5"/>
      <c r="E6" s="5"/>
      <c r="F6" s="5"/>
      <c r="G6" s="5"/>
    </row>
    <row r="7" spans="1:7" ht="30" customHeight="1" x14ac:dyDescent="0.25">
      <c r="B7" s="28" t="s">
        <v>23</v>
      </c>
      <c r="C7" s="28" t="s">
        <v>24</v>
      </c>
      <c r="D7" s="28" t="s">
        <v>25</v>
      </c>
      <c r="E7" s="28" t="s">
        <v>26</v>
      </c>
    </row>
    <row r="8" spans="1:7" ht="21.75" customHeight="1" x14ac:dyDescent="0.25">
      <c r="B8" s="29">
        <v>25</v>
      </c>
      <c r="C8" s="29">
        <v>25</v>
      </c>
      <c r="D8" s="29">
        <v>25</v>
      </c>
      <c r="E8" s="29">
        <v>25</v>
      </c>
    </row>
    <row r="10" spans="1:7" ht="16.5" x14ac:dyDescent="0.25">
      <c r="A10" s="5" t="s">
        <v>27</v>
      </c>
      <c r="B10" s="5"/>
      <c r="C10" s="5"/>
      <c r="D10" s="5"/>
      <c r="E10" s="5"/>
      <c r="F10" s="5"/>
      <c r="G10" s="5"/>
    </row>
    <row r="11" spans="1:7" ht="30" customHeight="1" x14ac:dyDescent="0.25">
      <c r="A11" s="19" t="s">
        <v>11</v>
      </c>
      <c r="B11" s="19" t="s">
        <v>28</v>
      </c>
      <c r="C11" s="19" t="s">
        <v>29</v>
      </c>
      <c r="D11" s="19" t="s">
        <v>30</v>
      </c>
      <c r="E11" s="19" t="s">
        <v>31</v>
      </c>
      <c r="F11" s="19" t="s">
        <v>32</v>
      </c>
      <c r="G11" s="19" t="s">
        <v>33</v>
      </c>
    </row>
    <row r="12" spans="1:7" x14ac:dyDescent="0.25">
      <c r="A12" s="30" t="s">
        <v>14</v>
      </c>
      <c r="B12" s="31">
        <f>AVERAGE((Data!B2-MIN(Data!$B2:$D2))/(MAX(Data!$B2:$D2)-MIN(Data!$B2:$D2)),(Data!B4-MIN(Data!$B4:$D4))/(MAX(Data!$B4:$D4)-MIN(Data!$B4:$D4)),(Data!B12-MIN(Data!$B12:$D12))/(MAX(Data!$B12:$D12)-MIN(Data!$B12:$D12)))</f>
        <v>0.57645654899472876</v>
      </c>
      <c r="C12" s="31">
        <f>AVERAGE((MAX(Data!$B3:$D3)-Data!B3)/(MAX(Data!$B3:$D3)-MIN(Data!$B3:$D3)),(MAX(Data!$B11:$D11)-Data!B11)/(MAX(Data!$B11:$D11)-MIN(Data!$B11:$D11)))</f>
        <v>1</v>
      </c>
      <c r="D12" s="31">
        <f>AVERAGE((Data!B8-MIN(Data!$B8:$D8))/(MAX(Data!$B8:$D8)-MIN(Data!$B8:$D8)),(Data!B9-MIN(Data!$B9:$D9))/(MAX(Data!$B9:$D9)-MIN(Data!$B9:$D9)),(Data!B10-MIN(Data!$B10:$D10))/(MAX(Data!$B10:$D10)-MIN(Data!$B10:$D10)))</f>
        <v>0.98933136222242746</v>
      </c>
      <c r="E12" s="31">
        <f>(MAX(Data!$B5:$D5)-Data!B5)/(MAX(Data!$B5:$D5)-MIN(Data!$B5:$D5))</f>
        <v>1</v>
      </c>
      <c r="F12" s="31">
        <f>(B12*$B$8+C12*$C$8+D12*$D$8+E12*$E$8)/SUM($B$8:$E$8)</f>
        <v>0.89144697780428916</v>
      </c>
      <c r="G12" s="32">
        <f>RANK(F12,$F$12:$F$14,0)</f>
        <v>1</v>
      </c>
    </row>
    <row r="13" spans="1:7" x14ac:dyDescent="0.25">
      <c r="A13" s="30" t="s">
        <v>15</v>
      </c>
      <c r="B13" s="31">
        <f>AVERAGE((Data!C2-MIN(Data!$B2:$D2))/(MAX(Data!$B2:$D2)-MIN(Data!$B2:$D2)),(Data!C4-MIN(Data!$B4:$D4))/(MAX(Data!$B4:$D4)-MIN(Data!$B4:$D4)),(Data!C12-MIN(Data!$B12:$D12))/(MAX(Data!$B12:$D12)-MIN(Data!$B12:$D12)))</f>
        <v>0.60660203195926987</v>
      </c>
      <c r="C13" s="31">
        <f>AVERAGE((MAX(Data!$B3:$D3)-Data!C3)/(MAX(Data!$B3:$D3)-MIN(Data!$B3:$D3)),(MAX(Data!$B11:$D11)-Data!C11)/(MAX(Data!$B11:$D11)-MIN(Data!$B11:$D11)))</f>
        <v>0.73288447138985946</v>
      </c>
      <c r="D13" s="31">
        <f>AVERAGE((Data!C8-MIN(Data!$B8:$D8))/(MAX(Data!$B8:$D8)-MIN(Data!$B8:$D8)),(Data!C9-MIN(Data!$B9:$D9))/(MAX(Data!$B9:$D9)-MIN(Data!$B9:$D9)),(Data!C10-MIN(Data!$B10:$D10))/(MAX(Data!$B10:$D10)-MIN(Data!$B10:$D10)))</f>
        <v>0.88015923452903488</v>
      </c>
      <c r="E13" s="31">
        <f>(MAX(Data!$B5:$D5)-Data!C5)/(MAX(Data!$B5:$D5)-MIN(Data!$B5:$D5))</f>
        <v>0.65656921867248907</v>
      </c>
      <c r="F13" s="31">
        <f>(B13*$B$8+C13*$C$8+D13*$D$8+E13*$E$8)/SUM($B$8:$E$8)</f>
        <v>0.71905373913766335</v>
      </c>
      <c r="G13" s="32">
        <f>RANK(F13,$F$12:$F$14,0)</f>
        <v>2</v>
      </c>
    </row>
    <row r="14" spans="1:7" x14ac:dyDescent="0.25">
      <c r="A14" s="30" t="s">
        <v>16</v>
      </c>
      <c r="B14" s="31">
        <f>AVERAGE((Data!D2-MIN(Data!$B2:$D2))/(MAX(Data!$B2:$D2)-MIN(Data!$B2:$D2)),(Data!D4-MIN(Data!$B4:$D4))/(MAX(Data!$B4:$D4)-MIN(Data!$B4:$D4)),(Data!D12-MIN(Data!$B12:$D12))/(MAX(Data!$B12:$D12)-MIN(Data!$B12:$D12)))</f>
        <v>0.33333333333333331</v>
      </c>
      <c r="C14" s="31">
        <f>AVERAGE((MAX(Data!$B3:$D3)-Data!D3)/(MAX(Data!$B3:$D3)-MIN(Data!$B3:$D3)),(MAX(Data!$B11:$D11)-Data!D11)/(MAX(Data!$B11:$D11)-MIN(Data!$B11:$D11)))</f>
        <v>0</v>
      </c>
      <c r="D14" s="31">
        <f>AVERAGE((Data!D8-MIN(Data!$B8:$D8))/(MAX(Data!$B8:$D8)-MIN(Data!$B8:$D8)),(Data!D9-MIN(Data!$B9:$D9))/(MAX(Data!$B9:$D9)-MIN(Data!$B9:$D9)),(Data!D10-MIN(Data!$B10:$D10))/(MAX(Data!$B10:$D10)-MIN(Data!$B10:$D10)))</f>
        <v>0</v>
      </c>
      <c r="E14" s="31">
        <f>(MAX(Data!$B5:$D5)-Data!D5)/(MAX(Data!$B5:$D5)-MIN(Data!$B5:$D5))</f>
        <v>0</v>
      </c>
      <c r="F14" s="31">
        <f>(B14*$B$8+C14*$C$8+D14*$D$8+E14*$E$8)/SUM($B$8:$E$8)</f>
        <v>8.3333333333333315E-2</v>
      </c>
      <c r="G14" s="32">
        <f>RANK(F14,$F$12:$F$14,0)</f>
        <v>3</v>
      </c>
    </row>
    <row r="16" spans="1:7" ht="25.5" customHeight="1" x14ac:dyDescent="0.25">
      <c r="A16" s="2" t="str">
        <f>"Recommended Portfolio:  " &amp; INDEX($A$12:$A$14,MATCH(1,$G$12:$G$14,0)) &amp; "   (Weighted Score: " &amp; TEXT(INDEX($F$12:$F$14,MATCH(1,$G$12:$G$14,0)),"0.000") &amp; ")"</f>
        <v>Recommended Portfolio:  Conservative   (Weighted Score: 0.891)</v>
      </c>
      <c r="B16" s="2"/>
      <c r="C16" s="2"/>
      <c r="D16" s="2"/>
      <c r="E16" s="2"/>
      <c r="F16" s="2"/>
      <c r="G16" s="2"/>
    </row>
    <row r="18" spans="1:7" ht="15" customHeight="1" x14ac:dyDescent="0.25">
      <c r="A18" s="1" t="s">
        <v>34</v>
      </c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</sheetData>
  <mergeCells count="7">
    <mergeCell ref="A16:G16"/>
    <mergeCell ref="A18:G24"/>
    <mergeCell ref="A1:G1"/>
    <mergeCell ref="A2:G2"/>
    <mergeCell ref="B4:C4"/>
    <mergeCell ref="A6:G6"/>
    <mergeCell ref="A10:G10"/>
  </mergeCells>
  <conditionalFormatting sqref="A12:G14">
    <cfRule type="expression" dxfId="0" priority="2">
      <formula>$G12=1</formula>
    </cfRule>
  </conditionalFormatting>
  <conditionalFormatting sqref="F12:F14">
    <cfRule type="dataBar" priority="3">
      <dataBar>
        <cfvo type="min"/>
        <cfvo type="max"/>
        <color rgb="FF5B7A9D"/>
      </dataBar>
      <extLst>
        <ext xmlns:x14="http://schemas.microsoft.com/office/spreadsheetml/2009/9/main" uri="{B025F937-C7B1-47D3-B67F-A62EFF666E3E}">
          <x14:id>{27E0D0CD-9AEA-4915-8BA2-36954B6DDD7B}</x14:id>
        </ext>
      </extLst>
    </cfRule>
  </conditionalFormatting>
  <dataValidations count="2">
    <dataValidation type="list" sqref="B4" xr:uid="{00000000-0002-0000-0100-000000000000}">
      <formula1>"Conservative,Balanced,Growth,Custom"</formula1>
      <formula2>0</formula2>
    </dataValidation>
    <dataValidation type="whole" showErrorMessage="1" errorTitle="Invalid weight" error="Enter a whole number between 0 and 100." sqref="B8:E8" xr:uid="{00000000-0002-0000-0100-000001000000}">
      <formula1>0</formula1>
      <formula2>100</formula2>
    </dataValidation>
  </dataValidations>
  <pageMargins left="0.4" right="0.4" top="0.5" bottom="0.5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E0D0CD-9AEA-4915-8BA2-36954B6DDD7B}">
            <x14:dataBar axisPosition="none">
              <x14:cfvo type="min"/>
              <x14:cfvo type="max"/>
              <x14:negativeFillColor rgb="FF5B7A9D"/>
            </x14:dataBar>
          </x14:cfRule>
          <xm:sqref>F12:F14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7A9D"/>
    <pageSetUpPr fitToPage="1"/>
  </sheetPr>
  <dimension ref="A1:G27"/>
  <sheetViews>
    <sheetView showGridLines="0" zoomScaleNormal="100" workbookViewId="0">
      <selection activeCell="F29" sqref="F29"/>
    </sheetView>
  </sheetViews>
  <sheetFormatPr defaultColWidth="8.7109375" defaultRowHeight="15" x14ac:dyDescent="0.25"/>
  <cols>
    <col min="1" max="3" width="16" customWidth="1"/>
    <col min="4" max="7" width="14" customWidth="1"/>
  </cols>
  <sheetData>
    <row r="1" spans="1:7" ht="27.75" customHeight="1" x14ac:dyDescent="0.35">
      <c r="A1" s="14" t="s">
        <v>35</v>
      </c>
      <c r="B1" s="14"/>
      <c r="C1" s="14"/>
      <c r="D1" s="14"/>
      <c r="E1" s="14"/>
      <c r="F1" s="14"/>
    </row>
    <row r="2" spans="1:7" x14ac:dyDescent="0.25">
      <c r="A2" s="13" t="s">
        <v>36</v>
      </c>
      <c r="B2" s="13"/>
      <c r="C2" s="13"/>
      <c r="D2" s="13"/>
      <c r="E2" s="13"/>
      <c r="F2" s="13"/>
    </row>
    <row r="4" spans="1:7" ht="31.5" customHeight="1" x14ac:dyDescent="0.25">
      <c r="A4" s="19" t="s">
        <v>11</v>
      </c>
      <c r="B4" s="19" t="s">
        <v>5</v>
      </c>
      <c r="C4" s="19" t="s">
        <v>12</v>
      </c>
      <c r="D4" s="19" t="s">
        <v>6</v>
      </c>
      <c r="E4" s="19" t="s">
        <v>7</v>
      </c>
      <c r="F4" s="19" t="s">
        <v>37</v>
      </c>
      <c r="G4" s="19" t="s">
        <v>38</v>
      </c>
    </row>
    <row r="5" spans="1:7" x14ac:dyDescent="0.25">
      <c r="A5" s="33" t="s">
        <v>14</v>
      </c>
      <c r="B5" s="21">
        <f>Data!B2</f>
        <v>0.105047</v>
      </c>
      <c r="C5" s="21">
        <f>Data!B3</f>
        <v>0.10810400000000001</v>
      </c>
      <c r="D5" s="22">
        <f>Data!B4</f>
        <v>0.97171700000000005</v>
      </c>
      <c r="E5" s="22">
        <f>Data!B12</f>
        <v>1.5874980000000001</v>
      </c>
      <c r="F5" s="22">
        <f>Data!B6</f>
        <v>0.28462399999999999</v>
      </c>
      <c r="G5" s="21">
        <f>Data!B7</f>
        <v>3.9161000000000001E-2</v>
      </c>
    </row>
    <row r="6" spans="1:7" x14ac:dyDescent="0.25">
      <c r="A6" s="34" t="s">
        <v>15</v>
      </c>
      <c r="B6" s="24">
        <f>Data!C2</f>
        <v>0.123237</v>
      </c>
      <c r="C6" s="24">
        <f>Data!C3</f>
        <v>0.12604899999999999</v>
      </c>
      <c r="D6" s="25">
        <f>Data!C4</f>
        <v>0.97768900000000003</v>
      </c>
      <c r="E6" s="25">
        <f>Data!C12</f>
        <v>1.5615760000000001</v>
      </c>
      <c r="F6" s="25">
        <f>Data!C6</f>
        <v>0.215221</v>
      </c>
      <c r="G6" s="24">
        <f>Data!C7</f>
        <v>2.1016E-2</v>
      </c>
    </row>
    <row r="7" spans="1:7" x14ac:dyDescent="0.25">
      <c r="A7" s="33" t="s">
        <v>16</v>
      </c>
      <c r="B7" s="21">
        <f>Data!D2</f>
        <v>0.18728500000000001</v>
      </c>
      <c r="C7" s="21">
        <f>Data!D3</f>
        <v>0.19598199999999999</v>
      </c>
      <c r="D7" s="22">
        <f>Data!D4</f>
        <v>0.95562199999999997</v>
      </c>
      <c r="E7" s="22">
        <f>Data!D12</f>
        <v>1.5229159999999999</v>
      </c>
      <c r="F7" s="22">
        <f>Data!D6</f>
        <v>0.19473699999999999</v>
      </c>
      <c r="G7" s="21">
        <f>Data!D7</f>
        <v>1.5599E-2</v>
      </c>
    </row>
    <row r="27" spans="1:1" x14ac:dyDescent="0.25">
      <c r="A27" s="27" t="s">
        <v>39</v>
      </c>
    </row>
  </sheetData>
  <mergeCells count="2">
    <mergeCell ref="A1:F1"/>
    <mergeCell ref="A2:F2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C1F1F"/>
    <pageSetUpPr fitToPage="1"/>
  </sheetPr>
  <dimension ref="A1:F7"/>
  <sheetViews>
    <sheetView showGridLines="0" zoomScaleNormal="100" workbookViewId="0">
      <selection activeCell="F34" sqref="F34"/>
    </sheetView>
  </sheetViews>
  <sheetFormatPr defaultColWidth="8.7109375" defaultRowHeight="15" x14ac:dyDescent="0.25"/>
  <cols>
    <col min="1" max="1" width="16" customWidth="1"/>
    <col min="2" max="2" width="12" customWidth="1"/>
    <col min="3" max="3" width="16" customWidth="1"/>
    <col min="4" max="4" width="20" customWidth="1"/>
    <col min="5" max="5" width="16" customWidth="1"/>
    <col min="6" max="6" width="20" customWidth="1"/>
    <col min="7" max="7" width="14" customWidth="1"/>
  </cols>
  <sheetData>
    <row r="1" spans="1:6" ht="27.75" customHeight="1" x14ac:dyDescent="0.35">
      <c r="A1" s="14" t="s">
        <v>40</v>
      </c>
      <c r="B1" s="14"/>
      <c r="C1" s="14"/>
      <c r="D1" s="14"/>
      <c r="E1" s="14"/>
      <c r="F1" s="14"/>
    </row>
    <row r="2" spans="1:6" x14ac:dyDescent="0.25">
      <c r="A2" s="13" t="s">
        <v>41</v>
      </c>
      <c r="B2" s="13"/>
      <c r="C2" s="13"/>
      <c r="D2" s="13"/>
      <c r="E2" s="13"/>
      <c r="F2" s="13"/>
    </row>
    <row r="4" spans="1:6" ht="31.5" customHeight="1" x14ac:dyDescent="0.25">
      <c r="A4" s="19" t="s">
        <v>11</v>
      </c>
      <c r="B4" s="19" t="s">
        <v>9</v>
      </c>
      <c r="C4" s="19" t="s">
        <v>42</v>
      </c>
      <c r="D4" s="19" t="s">
        <v>43</v>
      </c>
      <c r="E4" s="19" t="s">
        <v>44</v>
      </c>
      <c r="F4" s="19" t="s">
        <v>45</v>
      </c>
    </row>
    <row r="5" spans="1:6" x14ac:dyDescent="0.25">
      <c r="A5" s="33" t="s">
        <v>14</v>
      </c>
      <c r="B5" s="22">
        <f>Data!B5</f>
        <v>0.36907099999999998</v>
      </c>
      <c r="C5" s="21">
        <f>Data!B8</f>
        <v>-1.0521000000000001E-2</v>
      </c>
      <c r="D5" s="21">
        <f>Data!B9</f>
        <v>-1.5438E-2</v>
      </c>
      <c r="E5" s="21">
        <f>Data!B10</f>
        <v>-0.25068800000000002</v>
      </c>
      <c r="F5" s="21">
        <f>Data!B11</f>
        <v>0.32307000000000002</v>
      </c>
    </row>
    <row r="6" spans="1:6" x14ac:dyDescent="0.25">
      <c r="A6" s="34" t="s">
        <v>15</v>
      </c>
      <c r="B6" s="25">
        <f>Data!C5</f>
        <v>0.57260800000000001</v>
      </c>
      <c r="C6" s="24">
        <f>Data!C8</f>
        <v>-1.1563E-2</v>
      </c>
      <c r="D6" s="24">
        <f>Data!C9</f>
        <v>-1.8585999999999998E-2</v>
      </c>
      <c r="E6" s="24">
        <f>Data!C10</f>
        <v>-0.24895600000000001</v>
      </c>
      <c r="F6" s="24">
        <f>Data!C11</f>
        <v>0.44979000000000002</v>
      </c>
    </row>
    <row r="7" spans="1:6" x14ac:dyDescent="0.25">
      <c r="A7" s="33" t="s">
        <v>16</v>
      </c>
      <c r="B7" s="22">
        <f>Data!D5</f>
        <v>0.96172899999999995</v>
      </c>
      <c r="C7" s="21">
        <f>Data!D8</f>
        <v>-1.8348E-2</v>
      </c>
      <c r="D7" s="21">
        <f>Data!D9</f>
        <v>-2.9343000000000001E-2</v>
      </c>
      <c r="E7" s="21">
        <f>Data!D10</f>
        <v>-0.30307099999999998</v>
      </c>
      <c r="F7" s="21">
        <f>Data!D11</f>
        <v>0.70703800000000006</v>
      </c>
    </row>
  </sheetData>
  <mergeCells count="2">
    <mergeCell ref="A1:F1"/>
    <mergeCell ref="A2:F2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4A4A"/>
    <pageSetUpPr fitToPage="1"/>
  </sheetPr>
  <dimension ref="A1:K12"/>
  <sheetViews>
    <sheetView showGridLines="0" zoomScaleNormal="100" workbookViewId="0">
      <selection activeCell="J50" sqref="J50"/>
    </sheetView>
  </sheetViews>
  <sheetFormatPr defaultColWidth="8.7109375" defaultRowHeight="15" x14ac:dyDescent="0.25"/>
  <cols>
    <col min="1" max="1" width="16" customWidth="1"/>
    <col min="2" max="2" width="22" customWidth="1"/>
    <col min="3" max="3" width="20" customWidth="1"/>
    <col min="4" max="4" width="14" customWidth="1"/>
  </cols>
  <sheetData>
    <row r="1" spans="1:11" ht="27.75" customHeight="1" x14ac:dyDescent="0.35">
      <c r="A1" s="14" t="s">
        <v>46</v>
      </c>
      <c r="B1" s="14"/>
      <c r="C1" s="14"/>
      <c r="D1" s="14"/>
      <c r="E1" s="14"/>
      <c r="F1" s="14"/>
    </row>
    <row r="2" spans="1:11" x14ac:dyDescent="0.25">
      <c r="A2" s="13" t="s">
        <v>47</v>
      </c>
      <c r="B2" s="13"/>
      <c r="C2" s="13"/>
      <c r="D2" s="13"/>
      <c r="E2" s="13"/>
      <c r="F2" s="13"/>
    </row>
    <row r="4" spans="1:11" ht="31.5" customHeight="1" x14ac:dyDescent="0.25">
      <c r="A4" s="19" t="s">
        <v>11</v>
      </c>
      <c r="B4" s="19" t="s">
        <v>48</v>
      </c>
      <c r="C4" s="19" t="s">
        <v>49</v>
      </c>
    </row>
    <row r="5" spans="1:11" x14ac:dyDescent="0.25">
      <c r="A5" s="33" t="s">
        <v>14</v>
      </c>
      <c r="B5" s="21">
        <f>Data!B13</f>
        <v>8.4777000000000005E-2</v>
      </c>
      <c r="C5" s="21">
        <f>Data!B14</f>
        <v>-0.19733100000000001</v>
      </c>
    </row>
    <row r="6" spans="1:11" x14ac:dyDescent="0.25">
      <c r="A6" s="34" t="s">
        <v>15</v>
      </c>
      <c r="B6" s="24">
        <f>Data!C13</f>
        <v>5.2294E-2</v>
      </c>
      <c r="C6" s="24">
        <f>Data!C14</f>
        <v>-0.19953399999999999</v>
      </c>
    </row>
    <row r="7" spans="1:11" x14ac:dyDescent="0.25">
      <c r="A7" s="33" t="s">
        <v>16</v>
      </c>
      <c r="B7" s="21">
        <f>Data!D13</f>
        <v>7.5081999999999996E-2</v>
      </c>
      <c r="C7" s="21">
        <f>Data!D14</f>
        <v>-0.26542500000000002</v>
      </c>
    </row>
    <row r="10" spans="1:11" ht="15" customHeight="1" x14ac:dyDescent="0.25">
      <c r="F10" s="46" t="s">
        <v>50</v>
      </c>
      <c r="G10" s="46"/>
      <c r="H10" s="46"/>
      <c r="I10" s="46"/>
      <c r="J10" s="46"/>
      <c r="K10" s="46"/>
    </row>
    <row r="11" spans="1:11" x14ac:dyDescent="0.25">
      <c r="F11" s="46"/>
      <c r="G11" s="46"/>
      <c r="H11" s="46"/>
      <c r="I11" s="46"/>
      <c r="J11" s="46"/>
      <c r="K11" s="46"/>
    </row>
    <row r="12" spans="1:11" x14ac:dyDescent="0.25">
      <c r="F12" s="46"/>
      <c r="G12" s="46"/>
      <c r="H12" s="46"/>
      <c r="I12" s="46"/>
      <c r="J12" s="46"/>
      <c r="K12" s="46"/>
    </row>
  </sheetData>
  <mergeCells count="3">
    <mergeCell ref="A1:F1"/>
    <mergeCell ref="A2:F2"/>
    <mergeCell ref="F10:K12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A2240"/>
    <pageSetUpPr fitToPage="1"/>
  </sheetPr>
  <dimension ref="A1:F9"/>
  <sheetViews>
    <sheetView showGridLines="0" zoomScaleNormal="100" workbookViewId="0">
      <selection activeCell="L9" sqref="L9"/>
    </sheetView>
  </sheetViews>
  <sheetFormatPr defaultColWidth="8.7109375" defaultRowHeight="15" x14ac:dyDescent="0.25"/>
  <cols>
    <col min="1" max="1" width="28" customWidth="1"/>
    <col min="2" max="4" width="14" customWidth="1"/>
    <col min="5" max="5" width="3" customWidth="1"/>
  </cols>
  <sheetData>
    <row r="1" spans="1:6" ht="27.75" customHeight="1" x14ac:dyDescent="0.35">
      <c r="A1" s="14" t="s">
        <v>51</v>
      </c>
      <c r="B1" s="14"/>
      <c r="C1" s="14"/>
      <c r="D1" s="14"/>
      <c r="E1" s="14"/>
      <c r="F1" s="14"/>
    </row>
    <row r="2" spans="1:6" x14ac:dyDescent="0.25">
      <c r="A2" s="13" t="s">
        <v>52</v>
      </c>
      <c r="B2" s="13"/>
      <c r="C2" s="13"/>
      <c r="D2" s="13"/>
      <c r="E2" s="13"/>
      <c r="F2" s="13"/>
    </row>
    <row r="4" spans="1:6" ht="21.75" customHeight="1" x14ac:dyDescent="0.25">
      <c r="A4" s="19" t="s">
        <v>53</v>
      </c>
      <c r="B4" s="19" t="s">
        <v>14</v>
      </c>
      <c r="C4" s="19" t="s">
        <v>15</v>
      </c>
      <c r="D4" s="19" t="s">
        <v>16</v>
      </c>
    </row>
    <row r="5" spans="1:6" x14ac:dyDescent="0.25">
      <c r="A5" s="35" t="s">
        <v>54</v>
      </c>
      <c r="B5" s="36">
        <f>Data!B19</f>
        <v>0.4</v>
      </c>
      <c r="C5" s="36">
        <f>Data!C19</f>
        <v>0.6</v>
      </c>
      <c r="D5" s="36">
        <f>Data!D19</f>
        <v>0.4</v>
      </c>
    </row>
    <row r="6" spans="1:6" x14ac:dyDescent="0.25">
      <c r="A6" s="35" t="s">
        <v>55</v>
      </c>
      <c r="B6" s="36">
        <f>Data!B20</f>
        <v>0</v>
      </c>
      <c r="C6" s="36">
        <f>Data!C20</f>
        <v>0</v>
      </c>
      <c r="D6" s="36">
        <f>Data!D20</f>
        <v>0.5</v>
      </c>
    </row>
    <row r="7" spans="1:6" x14ac:dyDescent="0.25">
      <c r="A7" s="35" t="s">
        <v>56</v>
      </c>
      <c r="B7" s="36">
        <f>Data!B21</f>
        <v>0.4</v>
      </c>
      <c r="C7" s="36">
        <f>Data!C21</f>
        <v>0.3</v>
      </c>
      <c r="D7" s="36">
        <f>Data!D21</f>
        <v>0.1</v>
      </c>
    </row>
    <row r="8" spans="1:6" x14ac:dyDescent="0.25">
      <c r="A8" s="35" t="s">
        <v>57</v>
      </c>
      <c r="B8" s="36">
        <f>Data!B22</f>
        <v>0.2</v>
      </c>
      <c r="C8" s="36">
        <f>Data!C22</f>
        <v>0.1</v>
      </c>
      <c r="D8" s="36">
        <f>Data!D22</f>
        <v>0</v>
      </c>
    </row>
    <row r="9" spans="1:6" x14ac:dyDescent="0.25">
      <c r="A9" s="37" t="s">
        <v>58</v>
      </c>
      <c r="B9" s="38">
        <f>SUM(B5:B8)</f>
        <v>1</v>
      </c>
      <c r="C9" s="38">
        <f>SUM(C5:C8)</f>
        <v>0.99999999999999989</v>
      </c>
      <c r="D9" s="38">
        <f>SUM(D5:D8)</f>
        <v>1</v>
      </c>
    </row>
  </sheetData>
  <mergeCells count="2">
    <mergeCell ref="A1:F1"/>
    <mergeCell ref="A2:F2"/>
  </mergeCells>
  <conditionalFormatting sqref="B5:B8">
    <cfRule type="dataBar" priority="2">
      <dataBar>
        <cfvo type="num" val="0"/>
        <cfvo type="num" val="1"/>
        <color rgb="FFD9E2EC"/>
      </dataBar>
      <extLst>
        <ext xmlns:x14="http://schemas.microsoft.com/office/spreadsheetml/2009/9/main" uri="{B025F937-C7B1-47D3-B67F-A62EFF666E3E}">
          <x14:id>{429F5CF4-3E44-4424-88E7-DA754DE97DC3}</x14:id>
        </ext>
      </extLst>
    </cfRule>
  </conditionalFormatting>
  <conditionalFormatting sqref="C5:C8">
    <cfRule type="dataBar" priority="3">
      <dataBar>
        <cfvo type="num" val="0"/>
        <cfvo type="num" val="1"/>
        <color rgb="FFD9E2EC"/>
      </dataBar>
      <extLst>
        <ext xmlns:x14="http://schemas.microsoft.com/office/spreadsheetml/2009/9/main" uri="{B025F937-C7B1-47D3-B67F-A62EFF666E3E}">
          <x14:id>{AEB64E8C-AE23-4F23-92A6-46B96120658A}</x14:id>
        </ext>
      </extLst>
    </cfRule>
  </conditionalFormatting>
  <conditionalFormatting sqref="D5:D8">
    <cfRule type="dataBar" priority="4">
      <dataBar>
        <cfvo type="num" val="0"/>
        <cfvo type="num" val="1"/>
        <color rgb="FFD9E2EC"/>
      </dataBar>
      <extLst>
        <ext xmlns:x14="http://schemas.microsoft.com/office/spreadsheetml/2009/9/main" uri="{B025F937-C7B1-47D3-B67F-A62EFF666E3E}">
          <x14:id>{C26D2FC2-451C-4C8A-BB78-E1F0F8FAF5E2}</x14:id>
        </ext>
      </extLst>
    </cfRule>
  </conditionalFormatting>
  <conditionalFormatting sqref="E5:E8">
    <cfRule type="dataBar" priority="5">
      <dataBar>
        <cfvo type="num" val="0"/>
        <cfvo type="num" val="1"/>
        <color rgb="FFD9E2EC"/>
      </dataBar>
      <extLst>
        <ext xmlns:x14="http://schemas.microsoft.com/office/spreadsheetml/2009/9/main" uri="{B025F937-C7B1-47D3-B67F-A62EFF666E3E}">
          <x14:id>{A5E690E8-FEF4-492B-AA50-A056FA80CBD0}</x14:id>
        </ext>
      </extLst>
    </cfRule>
  </conditionalFormatting>
  <pageMargins left="0.4" right="0.4" top="0.5" bottom="0.5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9F5CF4-3E44-4424-88E7-DA754DE97DC3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D9E2EC"/>
            </x14:dataBar>
          </x14:cfRule>
          <xm:sqref>B5:B8</xm:sqref>
        </x14:conditionalFormatting>
        <x14:conditionalFormatting xmlns:xm="http://schemas.microsoft.com/office/excel/2006/main">
          <x14:cfRule type="dataBar" id="{AEB64E8C-AE23-4F23-92A6-46B96120658A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D9E2EC"/>
            </x14:dataBar>
          </x14:cfRule>
          <xm:sqref>C5:C8</xm:sqref>
        </x14:conditionalFormatting>
        <x14:conditionalFormatting xmlns:xm="http://schemas.microsoft.com/office/excel/2006/main">
          <x14:cfRule type="dataBar" id="{C26D2FC2-451C-4C8A-BB78-E1F0F8FAF5E2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D9E2EC"/>
            </x14:dataBar>
          </x14:cfRule>
          <xm:sqref>D5:D8</xm:sqref>
        </x14:conditionalFormatting>
        <x14:conditionalFormatting xmlns:xm="http://schemas.microsoft.com/office/excel/2006/main">
          <x14:cfRule type="dataBar" id="{A5E690E8-FEF4-492B-AA50-A056FA80CBD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D9E2EC"/>
            </x14:dataBar>
          </x14:cfRule>
          <xm:sqref>E5:E8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  <pageSetUpPr fitToPage="1"/>
  </sheetPr>
  <dimension ref="A1:F26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26" customWidth="1"/>
    <col min="2" max="2" width="70" customWidth="1"/>
  </cols>
  <sheetData>
    <row r="1" spans="1:6" ht="27.75" customHeight="1" x14ac:dyDescent="0.35">
      <c r="A1" s="14" t="s">
        <v>59</v>
      </c>
      <c r="B1" s="14"/>
      <c r="C1" s="14"/>
      <c r="D1" s="14"/>
      <c r="E1" s="14"/>
      <c r="F1" s="14"/>
    </row>
    <row r="2" spans="1:6" x14ac:dyDescent="0.25">
      <c r="A2" s="13" t="s">
        <v>60</v>
      </c>
      <c r="B2" s="13"/>
      <c r="C2" s="13"/>
      <c r="D2" s="13"/>
      <c r="E2" s="13"/>
      <c r="F2" s="13"/>
    </row>
    <row r="4" spans="1:6" ht="19.5" customHeight="1" x14ac:dyDescent="0.25">
      <c r="A4" s="19" t="s">
        <v>61</v>
      </c>
      <c r="B4" s="19" t="s">
        <v>62</v>
      </c>
    </row>
    <row r="5" spans="1:6" ht="27.75" customHeight="1" x14ac:dyDescent="0.25">
      <c r="A5" s="39" t="s">
        <v>5</v>
      </c>
      <c r="B5" s="40" t="s">
        <v>63</v>
      </c>
    </row>
    <row r="6" spans="1:6" ht="27.75" customHeight="1" x14ac:dyDescent="0.25">
      <c r="A6" s="39" t="s">
        <v>12</v>
      </c>
      <c r="B6" s="40" t="s">
        <v>64</v>
      </c>
    </row>
    <row r="7" spans="1:6" ht="27.75" customHeight="1" x14ac:dyDescent="0.25">
      <c r="A7" s="39" t="s">
        <v>6</v>
      </c>
      <c r="B7" s="40" t="s">
        <v>65</v>
      </c>
    </row>
    <row r="8" spans="1:6" ht="27.75" customHeight="1" x14ac:dyDescent="0.25">
      <c r="A8" s="39" t="s">
        <v>7</v>
      </c>
      <c r="B8" s="40" t="s">
        <v>66</v>
      </c>
    </row>
    <row r="9" spans="1:6" ht="27.75" customHeight="1" x14ac:dyDescent="0.25">
      <c r="A9" s="39" t="s">
        <v>9</v>
      </c>
      <c r="B9" s="40" t="s">
        <v>67</v>
      </c>
    </row>
    <row r="10" spans="1:6" ht="27.75" customHeight="1" x14ac:dyDescent="0.25">
      <c r="A10" s="39" t="s">
        <v>37</v>
      </c>
      <c r="B10" s="40" t="s">
        <v>68</v>
      </c>
    </row>
    <row r="11" spans="1:6" ht="27.75" customHeight="1" x14ac:dyDescent="0.25">
      <c r="A11" s="39" t="s">
        <v>38</v>
      </c>
      <c r="B11" s="40" t="s">
        <v>69</v>
      </c>
    </row>
    <row r="12" spans="1:6" ht="27.75" customHeight="1" x14ac:dyDescent="0.25">
      <c r="A12" s="39" t="s">
        <v>42</v>
      </c>
      <c r="B12" s="40" t="s">
        <v>70</v>
      </c>
    </row>
    <row r="13" spans="1:6" ht="27.75" customHeight="1" x14ac:dyDescent="0.25">
      <c r="A13" s="39" t="s">
        <v>43</v>
      </c>
      <c r="B13" s="40" t="s">
        <v>71</v>
      </c>
    </row>
    <row r="14" spans="1:6" ht="27.75" customHeight="1" x14ac:dyDescent="0.25">
      <c r="A14" s="39" t="s">
        <v>44</v>
      </c>
      <c r="B14" s="40" t="s">
        <v>72</v>
      </c>
    </row>
    <row r="15" spans="1:6" ht="27.75" customHeight="1" x14ac:dyDescent="0.25">
      <c r="A15" s="39" t="s">
        <v>45</v>
      </c>
      <c r="B15" s="40" t="s">
        <v>73</v>
      </c>
    </row>
    <row r="16" spans="1:6" ht="27.75" customHeight="1" x14ac:dyDescent="0.25">
      <c r="A16" s="39" t="s">
        <v>74</v>
      </c>
      <c r="B16" s="40" t="s">
        <v>75</v>
      </c>
    </row>
    <row r="17" spans="1:4" ht="27.75" customHeight="1" x14ac:dyDescent="0.25">
      <c r="A17" s="39" t="s">
        <v>49</v>
      </c>
      <c r="B17" s="40" t="s">
        <v>76</v>
      </c>
    </row>
    <row r="18" spans="1:4" ht="27.75" customHeight="1" x14ac:dyDescent="0.25">
      <c r="A18" s="39" t="s">
        <v>77</v>
      </c>
      <c r="B18" s="40" t="s">
        <v>78</v>
      </c>
    </row>
    <row r="21" spans="1:4" ht="16.5" x14ac:dyDescent="0.25">
      <c r="A21" s="5" t="s">
        <v>79</v>
      </c>
      <c r="B21" s="5"/>
    </row>
    <row r="22" spans="1:4" ht="25.5" customHeight="1" x14ac:dyDescent="0.25">
      <c r="A22" s="41" t="s">
        <v>80</v>
      </c>
      <c r="B22" s="47" t="s">
        <v>81</v>
      </c>
      <c r="C22" s="47"/>
      <c r="D22" s="47"/>
    </row>
    <row r="23" spans="1:4" ht="25.5" customHeight="1" x14ac:dyDescent="0.25">
      <c r="A23" s="41" t="s">
        <v>82</v>
      </c>
      <c r="B23" s="47" t="s">
        <v>83</v>
      </c>
      <c r="C23" s="47"/>
      <c r="D23" s="47"/>
    </row>
    <row r="24" spans="1:4" ht="25.5" customHeight="1" x14ac:dyDescent="0.25">
      <c r="A24" s="41" t="s">
        <v>84</v>
      </c>
      <c r="B24" s="47" t="s">
        <v>85</v>
      </c>
      <c r="C24" s="47"/>
      <c r="D24" s="47"/>
    </row>
    <row r="25" spans="1:4" ht="25.5" customHeight="1" x14ac:dyDescent="0.25">
      <c r="A25" s="41" t="s">
        <v>86</v>
      </c>
      <c r="B25" s="47" t="s">
        <v>87</v>
      </c>
      <c r="C25" s="47"/>
      <c r="D25" s="47"/>
    </row>
    <row r="26" spans="1:4" ht="25.5" customHeight="1" x14ac:dyDescent="0.25">
      <c r="A26" s="41" t="s">
        <v>88</v>
      </c>
      <c r="B26" s="47" t="s">
        <v>89</v>
      </c>
      <c r="C26" s="47"/>
      <c r="D26" s="47"/>
    </row>
  </sheetData>
  <mergeCells count="8">
    <mergeCell ref="B24:D24"/>
    <mergeCell ref="B25:D25"/>
    <mergeCell ref="B26:D26"/>
    <mergeCell ref="A1:F1"/>
    <mergeCell ref="A2:F2"/>
    <mergeCell ref="A21:B21"/>
    <mergeCell ref="B22:D22"/>
    <mergeCell ref="B23:D23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  <pageSetUpPr fitToPage="1"/>
  </sheetPr>
  <dimension ref="A1:F26"/>
  <sheetViews>
    <sheetView showGridLines="0" zoomScaleNormal="100" workbookViewId="0">
      <selection activeCell="F49" sqref="F49"/>
    </sheetView>
  </sheetViews>
  <sheetFormatPr defaultColWidth="8.7109375" defaultRowHeight="15" x14ac:dyDescent="0.25"/>
  <cols>
    <col min="1" max="1" width="28" customWidth="1"/>
    <col min="2" max="4" width="15" customWidth="1"/>
    <col min="6" max="6" width="45" customWidth="1"/>
  </cols>
  <sheetData>
    <row r="1" spans="1:6" ht="25.5" x14ac:dyDescent="0.25">
      <c r="A1" s="42" t="s">
        <v>61</v>
      </c>
      <c r="B1" s="42" t="s">
        <v>14</v>
      </c>
      <c r="C1" s="42" t="s">
        <v>15</v>
      </c>
      <c r="D1" s="42" t="s">
        <v>16</v>
      </c>
      <c r="F1" s="43" t="s">
        <v>90</v>
      </c>
    </row>
    <row r="2" spans="1:6" x14ac:dyDescent="0.25">
      <c r="A2" s="44" t="s">
        <v>5</v>
      </c>
      <c r="B2" s="45">
        <v>0.105047</v>
      </c>
      <c r="C2" s="45">
        <v>0.123237</v>
      </c>
      <c r="D2" s="45">
        <v>0.18728500000000001</v>
      </c>
    </row>
    <row r="3" spans="1:6" x14ac:dyDescent="0.25">
      <c r="A3" s="44" t="s">
        <v>12</v>
      </c>
      <c r="B3" s="45">
        <v>0.10810400000000001</v>
      </c>
      <c r="C3" s="45">
        <v>0.12604899999999999</v>
      </c>
      <c r="D3" s="45">
        <v>0.19598199999999999</v>
      </c>
    </row>
    <row r="4" spans="1:6" x14ac:dyDescent="0.25">
      <c r="A4" s="44" t="s">
        <v>6</v>
      </c>
      <c r="B4" s="45">
        <v>0.97171700000000005</v>
      </c>
      <c r="C4" s="45">
        <v>0.97768900000000003</v>
      </c>
      <c r="D4" s="45">
        <v>0.95562199999999997</v>
      </c>
    </row>
    <row r="5" spans="1:6" x14ac:dyDescent="0.25">
      <c r="A5" s="44" t="s">
        <v>9</v>
      </c>
      <c r="B5" s="45">
        <v>0.36907099999999998</v>
      </c>
      <c r="C5" s="45">
        <v>0.57260800000000001</v>
      </c>
      <c r="D5" s="45">
        <v>0.96172899999999995</v>
      </c>
    </row>
    <row r="6" spans="1:6" x14ac:dyDescent="0.25">
      <c r="A6" s="44" t="s">
        <v>37</v>
      </c>
      <c r="B6" s="45">
        <v>0.28462399999999999</v>
      </c>
      <c r="C6" s="45">
        <v>0.215221</v>
      </c>
      <c r="D6" s="45">
        <v>0.19473699999999999</v>
      </c>
    </row>
    <row r="7" spans="1:6" x14ac:dyDescent="0.25">
      <c r="A7" s="44" t="s">
        <v>38</v>
      </c>
      <c r="B7" s="45">
        <v>3.9161000000000001E-2</v>
      </c>
      <c r="C7" s="45">
        <v>2.1016E-2</v>
      </c>
      <c r="D7" s="45">
        <v>1.5599E-2</v>
      </c>
    </row>
    <row r="8" spans="1:6" x14ac:dyDescent="0.25">
      <c r="A8" s="44" t="s">
        <v>42</v>
      </c>
      <c r="B8" s="45">
        <v>-1.0521000000000001E-2</v>
      </c>
      <c r="C8" s="45">
        <v>-1.1563E-2</v>
      </c>
      <c r="D8" s="45">
        <v>-1.8348E-2</v>
      </c>
    </row>
    <row r="9" spans="1:6" x14ac:dyDescent="0.25">
      <c r="A9" s="44" t="s">
        <v>43</v>
      </c>
      <c r="B9" s="45">
        <v>-1.5438E-2</v>
      </c>
      <c r="C9" s="45">
        <v>-1.8585999999999998E-2</v>
      </c>
      <c r="D9" s="45">
        <v>-2.9343000000000001E-2</v>
      </c>
    </row>
    <row r="10" spans="1:6" x14ac:dyDescent="0.25">
      <c r="A10" s="44" t="s">
        <v>44</v>
      </c>
      <c r="B10" s="45">
        <v>-0.25068800000000002</v>
      </c>
      <c r="C10" s="45">
        <v>-0.24895600000000001</v>
      </c>
      <c r="D10" s="45">
        <v>-0.30307099999999998</v>
      </c>
    </row>
    <row r="11" spans="1:6" x14ac:dyDescent="0.25">
      <c r="A11" s="44" t="s">
        <v>45</v>
      </c>
      <c r="B11" s="45">
        <v>0.32307000000000002</v>
      </c>
      <c r="C11" s="45">
        <v>0.44979000000000002</v>
      </c>
      <c r="D11" s="45">
        <v>0.70703800000000006</v>
      </c>
    </row>
    <row r="12" spans="1:6" x14ac:dyDescent="0.25">
      <c r="A12" s="44" t="s">
        <v>7</v>
      </c>
      <c r="B12" s="45">
        <v>1.5874980000000001</v>
      </c>
      <c r="C12" s="45">
        <v>1.5615760000000001</v>
      </c>
      <c r="D12" s="45">
        <v>1.5229159999999999</v>
      </c>
    </row>
    <row r="13" spans="1:6" x14ac:dyDescent="0.25">
      <c r="A13" s="44" t="s">
        <v>74</v>
      </c>
      <c r="B13" s="45">
        <v>8.4777000000000005E-2</v>
      </c>
      <c r="C13" s="45">
        <v>5.2294E-2</v>
      </c>
      <c r="D13" s="45">
        <v>7.5081999999999996E-2</v>
      </c>
    </row>
    <row r="14" spans="1:6" x14ac:dyDescent="0.25">
      <c r="A14" s="44" t="s">
        <v>49</v>
      </c>
      <c r="B14" s="45">
        <v>-0.19733100000000001</v>
      </c>
      <c r="C14" s="45">
        <v>-0.19953399999999999</v>
      </c>
      <c r="D14" s="45">
        <v>-0.26542500000000002</v>
      </c>
    </row>
    <row r="17" spans="1:4" ht="16.5" x14ac:dyDescent="0.25">
      <c r="A17" s="18" t="s">
        <v>91</v>
      </c>
    </row>
    <row r="18" spans="1:4" x14ac:dyDescent="0.25">
      <c r="A18" s="42" t="s">
        <v>53</v>
      </c>
      <c r="B18" s="42" t="s">
        <v>14</v>
      </c>
      <c r="C18" s="42" t="s">
        <v>15</v>
      </c>
      <c r="D18" s="42" t="s">
        <v>16</v>
      </c>
    </row>
    <row r="19" spans="1:4" x14ac:dyDescent="0.25">
      <c r="A19" s="44" t="s">
        <v>92</v>
      </c>
      <c r="B19" s="45">
        <v>0.4</v>
      </c>
      <c r="C19" s="45">
        <v>0.6</v>
      </c>
      <c r="D19" s="45">
        <v>0.4</v>
      </c>
    </row>
    <row r="20" spans="1:4" x14ac:dyDescent="0.25">
      <c r="A20" s="44" t="s">
        <v>93</v>
      </c>
      <c r="B20" s="45">
        <v>0</v>
      </c>
      <c r="C20" s="45">
        <v>0</v>
      </c>
      <c r="D20" s="45">
        <v>0.5</v>
      </c>
    </row>
    <row r="21" spans="1:4" x14ac:dyDescent="0.25">
      <c r="A21" s="44" t="s">
        <v>94</v>
      </c>
      <c r="B21" s="45">
        <v>0.4</v>
      </c>
      <c r="C21" s="45">
        <v>0.3</v>
      </c>
      <c r="D21" s="45">
        <v>0.1</v>
      </c>
    </row>
    <row r="22" spans="1:4" x14ac:dyDescent="0.25">
      <c r="A22" s="44" t="s">
        <v>95</v>
      </c>
      <c r="B22" s="45">
        <v>0.2</v>
      </c>
      <c r="C22" s="45">
        <v>0.1</v>
      </c>
      <c r="D22" s="45">
        <v>0</v>
      </c>
    </row>
    <row r="24" spans="1:4" x14ac:dyDescent="0.25">
      <c r="A24" t="s">
        <v>82</v>
      </c>
      <c r="B24" t="s">
        <v>96</v>
      </c>
    </row>
    <row r="25" spans="1:4" x14ac:dyDescent="0.25">
      <c r="A25" t="s">
        <v>80</v>
      </c>
      <c r="B25" t="s">
        <v>81</v>
      </c>
    </row>
    <row r="26" spans="1:4" x14ac:dyDescent="0.25">
      <c r="A26" t="s">
        <v>84</v>
      </c>
      <c r="B26" t="s">
        <v>97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Decision Tool</vt:lpstr>
      <vt:lpstr>Performance</vt:lpstr>
      <vt:lpstr>Risk Analytics</vt:lpstr>
      <vt:lpstr>Stress Testing</vt:lpstr>
      <vt:lpstr>Asset Allocation</vt:lpstr>
      <vt:lpstr>Methodology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Bawan singh</cp:lastModifiedBy>
  <cp:revision>1</cp:revision>
  <dcterms:created xsi:type="dcterms:W3CDTF">2026-09-25T19:14:33Z</dcterms:created>
  <dcterms:modified xsi:type="dcterms:W3CDTF">2026-09-25T19:19:13Z</dcterms:modified>
  <dc:language>en-US</dc:language>
</cp:coreProperties>
</file>